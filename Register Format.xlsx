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 firstSheet="2" activeTab="2"/>
  </bookViews>
  <sheets>
    <sheet name="Spirit Transaction" sheetId="12" r:id="rId1"/>
    <sheet name="Finished Bottle &amp; Fees on Issue" sheetId="13" r:id="rId2"/>
    <sheet name="Daily HandBook" sheetId="15" r:id="rId3"/>
    <sheet name="REG 76" sheetId="1" r:id="rId4"/>
    <sheet name="Reg-74" sheetId="11" r:id="rId5"/>
    <sheet name="REG-78" sheetId="4" r:id="rId6"/>
    <sheet name="REG-A" sheetId="5" r:id="rId7"/>
    <sheet name="REG-B" sheetId="6" r:id="rId8"/>
    <sheet name="Bottling Fees" sheetId="9" r:id="rId9"/>
    <sheet name="Excise Duty" sheetId="10" r:id="rId10"/>
    <sheet name="GBR" sheetId="2" r:id="rId11"/>
    <sheet name="Hol Excise" sheetId="7" r:id="rId12"/>
    <sheet name="Hol Licensee" sheetId="8" r:id="rId13"/>
  </sheets>
  <definedNames>
    <definedName name="_xlnm.Print_Area" localSheetId="2">'Daily HandBook'!$A$1:$M$65</definedName>
    <definedName name="_xlnm.Print_Area" localSheetId="1">'Finished Bottle &amp; Fees on Issue'!$A$1:$AD$25</definedName>
    <definedName name="_xlnm.Print_Area" localSheetId="0">'Spirit Transaction'!$A$1:$W$23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N8" i="6" l="1"/>
  <c r="CY8" i="6" s="1"/>
  <c r="CH8" i="6"/>
  <c r="AZ8" i="6"/>
  <c r="AI8" i="6"/>
  <c r="U7" i="5" l="1"/>
  <c r="AG7" i="5"/>
  <c r="AB7" i="5"/>
  <c r="AD7" i="5" s="1"/>
  <c r="AF7" i="5" s="1"/>
  <c r="H7" i="5" l="1"/>
  <c r="N12" i="4" l="1"/>
  <c r="H12" i="4"/>
  <c r="O12" i="4" s="1"/>
  <c r="J8" i="2"/>
  <c r="B11" i="2" s="1"/>
  <c r="J11" i="2" s="1"/>
</calcChain>
</file>

<file path=xl/sharedStrings.xml><?xml version="1.0" encoding="utf-8"?>
<sst xmlns="http://schemas.openxmlformats.org/spreadsheetml/2006/main" count="647" uniqueCount="380">
  <si>
    <t>Name of Exporting/Transporting Distillery</t>
  </si>
  <si>
    <t>Date of Arrival</t>
  </si>
  <si>
    <t>Date of Receipt &amp; date of Examination</t>
  </si>
  <si>
    <t>Export/import Order No. &amp; Date</t>
  </si>
  <si>
    <t>Export/Import Pass No. &amp; Date</t>
  </si>
  <si>
    <t>Nature of Spirit</t>
  </si>
  <si>
    <t>No. of drum or Tanker</t>
  </si>
  <si>
    <t>Capacity of each Drum/Tanker</t>
  </si>
  <si>
    <t>Weight of Empty Drum/Tanker</t>
  </si>
  <si>
    <t>weight of spirit in Advice (in Kg)</t>
  </si>
  <si>
    <t>Average density of Spirit (gm/cc)</t>
  </si>
  <si>
    <t>Average Temperature of Spirit</t>
  </si>
  <si>
    <t>Details of Advised Quantity</t>
  </si>
  <si>
    <t>Mas (in kg.)</t>
  </si>
  <si>
    <r>
      <t>Volume in BL at 20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C</t>
    </r>
  </si>
  <si>
    <t>Temparature</t>
  </si>
  <si>
    <t>Indication</t>
  </si>
  <si>
    <t>Strength (in % v/v)</t>
  </si>
  <si>
    <t>Details of Received Quantity through MFM-I</t>
  </si>
  <si>
    <t>Mass(in Kg)</t>
  </si>
  <si>
    <t>Average Temperature</t>
  </si>
  <si>
    <t>Average density at unloading temperature</t>
  </si>
  <si>
    <r>
      <t>Density at 20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C</t>
    </r>
  </si>
  <si>
    <t>Strength (In % v/v)</t>
  </si>
  <si>
    <t>Details of Advised and Received Quantity</t>
  </si>
  <si>
    <t>Advised Quantity of Spirit</t>
  </si>
  <si>
    <t>BL</t>
  </si>
  <si>
    <t>AL</t>
  </si>
  <si>
    <t>Received Quantity of Spirit</t>
  </si>
  <si>
    <t>No. of Days in Transit</t>
  </si>
  <si>
    <t>Transit Wastage/Increase in AL</t>
  </si>
  <si>
    <t>Allowable Transit Wastage in AL</t>
  </si>
  <si>
    <t>Chargeable Transit Wastage in AL</t>
  </si>
  <si>
    <t>Tanker Unloaded in Storage Vat No.</t>
  </si>
  <si>
    <t>Invoice No. &amp; Date</t>
  </si>
  <si>
    <t>Make &amp; Model Of the Tanker</t>
  </si>
  <si>
    <t>Laden weight as per Weigh Bridge measurement at Consignee end</t>
  </si>
  <si>
    <t>Laden weight as per Pass accompanying the Consignment</t>
  </si>
  <si>
    <t>Unladen weight as per Pass accompanying the Consignment</t>
  </si>
  <si>
    <t>Unladen weight as per Weigh Bridge measurement at Consignee end</t>
  </si>
  <si>
    <t>Online EVC generated on Date</t>
  </si>
  <si>
    <t>Remarks of Excise Officer-in-Charge</t>
  </si>
  <si>
    <t>Signature of Excise Officer-in Charge &amp; Date</t>
  </si>
  <si>
    <t>SIP 2 LIFE DISTILLERIES PVT. LTD.</t>
  </si>
  <si>
    <t>J.L.NO.-83, MOUZA-DANKUNI BILL, HOOGHLY-712310</t>
  </si>
  <si>
    <t>Import Permit No./Transport Pass No.</t>
  </si>
  <si>
    <t>Vechile No./Tanker No.</t>
  </si>
  <si>
    <t>REGISTER FOR SPIRIT RECEIPT IN THE MANUFACTORY IN BULK LITER FROM TANKERS OR CASK EITHER THROUGH IMPORT OR BY TRANSPORT FROM DISTILLERY  (REG-76)</t>
  </si>
  <si>
    <t>GENERAL BOND REGISTER</t>
  </si>
  <si>
    <t>DATE</t>
  </si>
  <si>
    <t>OPENING BALANCE OF BOND COVERAGE</t>
  </si>
  <si>
    <t>NAME OF THE CONSIGNEE</t>
  </si>
  <si>
    <t>QUANTITY OF ENA INVOLVED IN AL</t>
  </si>
  <si>
    <t>DEBIT BOND COVERAGE @ PREVAILING DUTY</t>
  </si>
  <si>
    <t>IMPORT PERMIT NO. &amp; DATE/REQUISITION NO. &amp; DATE</t>
  </si>
  <si>
    <t>RE-CREDIT OF DISCHARGE OF THE BOND COVERAGE ON RECEIPT OF GOODS</t>
  </si>
  <si>
    <t>PARTICULARS OF IMPORT/TRANSPORT PASS NO.</t>
  </si>
  <si>
    <t>FROM WHOM RECEIVED AND DATE OF RECEIPT</t>
  </si>
  <si>
    <t>REMARKS</t>
  </si>
  <si>
    <t>TANKER UNLOADING REGISTER (RAW SPIRIT)</t>
  </si>
  <si>
    <t>THIS REGISTER USED ONLY FOR IMPORT OF RAW SPIRIT</t>
  </si>
  <si>
    <t>BALANCE ACCOUNT OF SPIRIT IN HAND AND SUMMARY OF TRANSACTION AT QUANTITY OF SPIRIT ARE MENTIONED IN ALCOHOLIC LITER</t>
  </si>
  <si>
    <t>Date Hour</t>
  </si>
  <si>
    <t>Balance in hand</t>
  </si>
  <si>
    <t>Consignment of strong spirit received through Pass Number</t>
  </si>
  <si>
    <t>Quantity of spirit received through Mass Flow Meter-I</t>
  </si>
  <si>
    <t>Operational Increase</t>
  </si>
  <si>
    <t>Production Increase</t>
  </si>
  <si>
    <t>Increase during stock Audit</t>
  </si>
  <si>
    <t>Total balance in hand (sum of col. 2 to 7</t>
  </si>
  <si>
    <t>Issues on payment of duty</t>
  </si>
  <si>
    <t>Sample drawn</t>
  </si>
  <si>
    <t xml:space="preserve">Operational wastage </t>
  </si>
  <si>
    <t>Production wastage</t>
  </si>
  <si>
    <t>Wastage during stock Audit</t>
  </si>
  <si>
    <t>Total debit of spirit in difference (sum of col. 9 to 13</t>
  </si>
  <si>
    <t>Differences recorded during process and production</t>
  </si>
  <si>
    <t>Opening Balance and Receipts &amp; Increases</t>
  </si>
  <si>
    <t>IFB Agro Industries Ltd.</t>
  </si>
  <si>
    <t>WB23G/0445</t>
  </si>
  <si>
    <t>21.11.2025</t>
  </si>
  <si>
    <t>tBSUB/2025-2026/00032298/P, dt-21.11.2025</t>
  </si>
  <si>
    <t>GENA</t>
  </si>
  <si>
    <t>ONE TANKER</t>
  </si>
  <si>
    <t>FULL CAPACITY</t>
  </si>
  <si>
    <r>
      <t>29.41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C</t>
    </r>
  </si>
  <si>
    <t>Volume in BL at given temparature</t>
  </si>
  <si>
    <r>
      <t>29.41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c</t>
    </r>
  </si>
  <si>
    <t>96.0% v/v</t>
  </si>
  <si>
    <r>
      <t>26.63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c</t>
    </r>
  </si>
  <si>
    <t>96.02% v/v</t>
  </si>
  <si>
    <t>1 day</t>
  </si>
  <si>
    <t>increase</t>
  </si>
  <si>
    <t>SST-1</t>
  </si>
  <si>
    <t>100, dt-21.11.2025</t>
  </si>
  <si>
    <t>Tata Motors Ltd., LPT3118 TC</t>
  </si>
  <si>
    <t>22.11.2025</t>
  </si>
  <si>
    <t>NA</t>
  </si>
  <si>
    <t>11600.0 kg</t>
  </si>
  <si>
    <t>23981.0 kg</t>
  </si>
  <si>
    <t>Ankur Biochem</t>
  </si>
  <si>
    <t>BS/UB/001/[D &amp; W]/P</t>
  </si>
  <si>
    <t>14.11.2025</t>
  </si>
  <si>
    <t>Debit</t>
  </si>
  <si>
    <t>Credit</t>
  </si>
  <si>
    <t>tBSUB/2025-26/00032298/P</t>
  </si>
  <si>
    <t>This register maintain for Gist of Spirit of Plant</t>
  </si>
  <si>
    <t>This register are auto create on the basis of Reg no.74,76 and reg A &amp; B</t>
  </si>
  <si>
    <t>CLOSING BALANCE OF BOND COVERAGE</t>
  </si>
  <si>
    <t xml:space="preserve">Issues </t>
  </si>
  <si>
    <t xml:space="preserve">Spirit left in vats </t>
  </si>
  <si>
    <t>REG-78</t>
  </si>
  <si>
    <t>BASE BATCH No.</t>
  </si>
  <si>
    <t>BATCH START DATE</t>
  </si>
  <si>
    <t>BRAND NAME</t>
  </si>
  <si>
    <t>ALLOTED VAT No.</t>
  </si>
  <si>
    <t>BASIC INFORMATION</t>
  </si>
  <si>
    <t>RECEIPT VOLUME OF SPIRIT</t>
  </si>
  <si>
    <t>FROM VAT No.</t>
  </si>
  <si>
    <t>VOLUME IN BL</t>
  </si>
  <si>
    <t>VOLUME IN AL</t>
  </si>
  <si>
    <t>STR IN % v/v</t>
  </si>
  <si>
    <t>TOTAL BLEND PREPARED IN VAT</t>
  </si>
  <si>
    <t>TO VAT No.</t>
  </si>
  <si>
    <t>BATCH NO. &amp; DATE</t>
  </si>
  <si>
    <t>PRODUCTION DATE</t>
  </si>
  <si>
    <t>TOTAL BATCH VOLUME</t>
  </si>
  <si>
    <t>AVG DENSITY IN gm/cc</t>
  </si>
  <si>
    <t>AVG TEMP IN deg C</t>
  </si>
  <si>
    <t>AVG STR IN % v/v</t>
  </si>
  <si>
    <t>TOTAL VOLUME TRANSFER IN AL</t>
  </si>
  <si>
    <t>PRODUCTION IN BOTTLE RECORDED BY BOTTLE COUNTER IN ML</t>
  </si>
  <si>
    <t>QUANTITY OF SPIRIT BOTTLED IN VOLUME</t>
  </si>
  <si>
    <t>SPIRIT BOTTLED IN BL</t>
  </si>
  <si>
    <t>AVERAGE STRENGTH</t>
  </si>
  <si>
    <t>QUANTITY OF SPIRIT PASSED THROUGH MFM-II</t>
  </si>
  <si>
    <t>SPIRIT BOTTLED IN AL</t>
  </si>
  <si>
    <t>ALLOWABLE WASTAGE</t>
  </si>
  <si>
    <t>CHARGEABLE WASTAGE</t>
  </si>
  <si>
    <t>PRODUCTION WASTAGE IN AL</t>
  </si>
  <si>
    <t xml:space="preserve">PRODUCTION INCREASE  </t>
  </si>
  <si>
    <t xml:space="preserve">PRODUCTION WASTAGE  </t>
  </si>
  <si>
    <t>DIFFERENCE FOUND IN AL</t>
  </si>
  <si>
    <t>PRODUCTION REGISTER (REG-A)</t>
  </si>
  <si>
    <t>TOTAL VOLUME TRANSFER IN BL</t>
  </si>
  <si>
    <t>FEEDA</t>
  </si>
  <si>
    <t>BT-1</t>
  </si>
  <si>
    <t>100FD-1</t>
  </si>
  <si>
    <t>Date</t>
  </si>
  <si>
    <t>750 ml</t>
  </si>
  <si>
    <t>500 ml</t>
  </si>
  <si>
    <t>375 ml</t>
  </si>
  <si>
    <t>300 ml</t>
  </si>
  <si>
    <t>180 ml</t>
  </si>
  <si>
    <t>600 ml</t>
  </si>
  <si>
    <t>AL Liters</t>
  </si>
  <si>
    <t>Issue on Payment of Duty</t>
  </si>
  <si>
    <t>Remarks</t>
  </si>
  <si>
    <t xml:space="preserve"> </t>
  </si>
  <si>
    <t xml:space="preserve"> Opening Balance in hand</t>
  </si>
  <si>
    <t>Stock Register of Finished Bottle (Reg-B)</t>
  </si>
  <si>
    <t>Closing in Hand of Bottle</t>
  </si>
  <si>
    <t>Quantity Received of Bottle</t>
  </si>
  <si>
    <t>Total Bottle to be Accounted</t>
  </si>
  <si>
    <t>Wastage/Breakage of Bottle</t>
  </si>
  <si>
    <r>
      <t>60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UP (22.8% v/v)</t>
    </r>
  </si>
  <si>
    <r>
      <t>50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UP (28.5% v/v)</t>
    </r>
  </si>
  <si>
    <r>
      <t>70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UP (17.1% v/v)</t>
    </r>
  </si>
  <si>
    <r>
      <t>80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UP (11.4% v/v)</t>
    </r>
  </si>
  <si>
    <t>Total</t>
  </si>
  <si>
    <t>Receipt of Holograms</t>
  </si>
  <si>
    <t>Total Holograms in Hand</t>
  </si>
  <si>
    <t>Issue to Holograms</t>
  </si>
  <si>
    <t>To whome issued</t>
  </si>
  <si>
    <t>UIN  (From - To)</t>
  </si>
  <si>
    <t>Wastage in excise custody (if any)</t>
  </si>
  <si>
    <t>To be maintained with the Excise Officer in Charge</t>
  </si>
  <si>
    <t>Sign of Excise Officer</t>
  </si>
  <si>
    <t>100FD</t>
  </si>
  <si>
    <t>To be maintained with the Licensee</t>
  </si>
  <si>
    <t>Opening Balance (pcs)</t>
  </si>
  <si>
    <t xml:space="preserve">Received Qty. </t>
  </si>
  <si>
    <t xml:space="preserve">Total Holograms </t>
  </si>
  <si>
    <t>Line No.</t>
  </si>
  <si>
    <t>No. of Holograms</t>
  </si>
  <si>
    <t>Holohrams tagged in e-Abgari portal</t>
  </si>
  <si>
    <t>Opening Balance (Pcs)</t>
  </si>
  <si>
    <t>Closing Balance (Pcs)</t>
  </si>
  <si>
    <t>Wasgae Holograms</t>
  </si>
  <si>
    <t>Reasons for actual wastage</t>
  </si>
  <si>
    <t>UIN of wastage Holograms</t>
  </si>
  <si>
    <t>space for affixing damaged Holograms</t>
  </si>
  <si>
    <t>In Production Line</t>
  </si>
  <si>
    <t>In Licensee Custody</t>
  </si>
  <si>
    <t>Sign of Licensee/Sub-lesse</t>
  </si>
  <si>
    <t>Counter sign of Excise Officer</t>
  </si>
  <si>
    <t xml:space="preserve">Counter Sign of Receiver </t>
  </si>
  <si>
    <t>Register for Accounting of Holograms (Utilization &amp; Wastage)</t>
  </si>
  <si>
    <t>Register for Accounting of Holograms (Receipts &amp; Issue)</t>
  </si>
  <si>
    <t>E Challan No. &amp; Date</t>
  </si>
  <si>
    <t xml:space="preserve">Opening Balance </t>
  </si>
  <si>
    <t xml:space="preserve">Deposit Amount </t>
  </si>
  <si>
    <r>
      <t>50</t>
    </r>
    <r>
      <rPr>
        <vertAlign val="superscript"/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  <scheme val="minor"/>
      </rPr>
      <t>up</t>
    </r>
  </si>
  <si>
    <r>
      <t>60</t>
    </r>
    <r>
      <rPr>
        <vertAlign val="superscript"/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  <scheme val="minor"/>
      </rPr>
      <t>up</t>
    </r>
  </si>
  <si>
    <r>
      <t>70</t>
    </r>
    <r>
      <rPr>
        <vertAlign val="superscript"/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  <scheme val="minor"/>
      </rPr>
      <t>up</t>
    </r>
  </si>
  <si>
    <r>
      <t>80</t>
    </r>
    <r>
      <rPr>
        <vertAlign val="superscript"/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  <scheme val="minor"/>
      </rPr>
      <t>up</t>
    </r>
  </si>
  <si>
    <t>Fee for Bottling Debited</t>
  </si>
  <si>
    <t>Closing Balance</t>
  </si>
  <si>
    <t>Signature of the Excise Officer</t>
  </si>
  <si>
    <t xml:space="preserve"> Rs.</t>
  </si>
  <si>
    <t>IML Bottles Production Quantity</t>
  </si>
  <si>
    <t>Register of Personal Ledger Account of Fee for Bottling of Spirit</t>
  </si>
  <si>
    <t>[Vide Sub rule (4) if rule 26 under Notification No. 424 Ex. Dated 18th May 2015]</t>
  </si>
  <si>
    <t>Bottles Production</t>
  </si>
  <si>
    <t>Closing Balance (pcs)</t>
  </si>
  <si>
    <t>Closing Balance Licensse (Pcs)</t>
  </si>
  <si>
    <t>Register of Personal Ledger Account of Excsie Duty  for IML</t>
  </si>
  <si>
    <t>Amount of duty Debited for the Issue</t>
  </si>
  <si>
    <t>Issued of Bottle Quantity</t>
  </si>
  <si>
    <t>Bottles Issed</t>
  </si>
  <si>
    <t>Date of Issue</t>
  </si>
  <si>
    <t>Transport Pass No.</t>
  </si>
  <si>
    <t>Name of the Ware house/Depot's</t>
  </si>
  <si>
    <t>Date &amp; Hours</t>
  </si>
  <si>
    <t>Balance in hand founded by gauging through rader level transmitter and
 proving through Alcoholmeter</t>
  </si>
  <si>
    <t xml:space="preserve">Receipts         of         Spirit </t>
  </si>
  <si>
    <t xml:space="preserve">Increase in Sprit </t>
  </si>
  <si>
    <t>Total quantity of Spirit</t>
  </si>
  <si>
    <t xml:space="preserve">Sprit issued to other VAT or Cask or Drum </t>
  </si>
  <si>
    <t xml:space="preserve">Sprit transferred thfough MFM-II for production </t>
  </si>
  <si>
    <t>Closing balance left in VAT</t>
  </si>
  <si>
    <t>Dip in CM</t>
  </si>
  <si>
    <t>Temperature in Deg.C</t>
  </si>
  <si>
    <t>Indication in 
Alcoholmeter</t>
  </si>
  <si>
    <t>Strength in % v/V</t>
  </si>
  <si>
    <t xml:space="preserve">Volume in Bulk Litre </t>
  </si>
  <si>
    <t xml:space="preserve">Volume in Alcoholic Litre </t>
  </si>
  <si>
    <t xml:space="preserve">From Which Receiver </t>
  </si>
  <si>
    <t>Qty Received through Mass flow meter -I</t>
  </si>
  <si>
    <t>Average Strength recorded by mass Flow Meter-I</t>
  </si>
  <si>
    <t>Quantity received in A.L</t>
  </si>
  <si>
    <t>From which VAT</t>
  </si>
  <si>
    <t>total No. of Cask or Drum</t>
  </si>
  <si>
    <t xml:space="preserve">Quantity in Bulk Litre </t>
  </si>
  <si>
    <t>Strength recorded by alcolommeter</t>
  </si>
  <si>
    <t xml:space="preserve">Qty in Alcoholic Litre </t>
  </si>
  <si>
    <t>Increase found during stock Audit</t>
  </si>
  <si>
    <t xml:space="preserve">Dip recorded through Radar level transmitter </t>
  </si>
  <si>
    <t xml:space="preserve">Reading through RLT quantity in Bulk Litre </t>
  </si>
  <si>
    <t>Final Strength in % v/v</t>
  </si>
  <si>
    <t>Operational Wastage</t>
  </si>
  <si>
    <t>Wastage found during stock Audit</t>
  </si>
  <si>
    <t xml:space="preserve">Destination or VAT No </t>
  </si>
  <si>
    <t>Total Qty actually measured out by RLT</t>
  </si>
  <si>
    <t>Strength of Spirit in % v/v</t>
  </si>
  <si>
    <t xml:space="preserve">Quantity in Alcoholic Litre </t>
  </si>
  <si>
    <t xml:space="preserve">Number of VATs or total no. of cask or drum </t>
  </si>
  <si>
    <t>Qty Transferred in BL</t>
  </si>
  <si>
    <t>Average Denity recorded by MFM-II</t>
  </si>
  <si>
    <t>Strength recorded by MFM-II in %v/v</t>
  </si>
  <si>
    <t>Quantity transferred in AL</t>
  </si>
  <si>
    <t>Sprit left in the VAT after production as dead stock in AL</t>
  </si>
  <si>
    <t>Final dip in CM. recorded through RLT</t>
  </si>
  <si>
    <t>Final Volumn of spirit in bulk litre recorded through RLT</t>
  </si>
  <si>
    <t xml:space="preserve">Strength in % v/v  </t>
  </si>
  <si>
    <t>Qty in Alcoholic Litre</t>
  </si>
  <si>
    <t xml:space="preserve">Nature of operations to be noted in this column </t>
  </si>
  <si>
    <t xml:space="preserve">Remarks </t>
  </si>
  <si>
    <t xml:space="preserve">Intial of Excise officer in charge </t>
  </si>
  <si>
    <t>Total Amount Credited</t>
  </si>
  <si>
    <t>Strong Spirit Opening Balance</t>
  </si>
  <si>
    <t>Strong Spirit Received / Unloaded (through MFM-I)</t>
  </si>
  <si>
    <t>In-transit / Unloading Increase</t>
  </si>
  <si>
    <t>In-transit / Unloading Wastage</t>
  </si>
  <si>
    <t>Strong Spirit Transferred to Blending VATs (through MFM-II)</t>
  </si>
  <si>
    <t>Operational Increase in Strong Spirit VATs</t>
  </si>
  <si>
    <t>Strong Spirit Closing Balance (must tally with physical VATs)</t>
  </si>
  <si>
    <t>Blended / Finished Spirit Opening Balance</t>
  </si>
  <si>
    <t>Blended Spirit Received from Strong Spirit</t>
  </si>
  <si>
    <t>Operational Increase in Blending/Finished VATs</t>
  </si>
  <si>
    <t>Sample Drawn</t>
  </si>
  <si>
    <t>Spirit Actually Passed to Bottling Lines (through MFM-II)</t>
  </si>
  <si>
    <t>Production Wastage</t>
  </si>
  <si>
    <t>Blended / Finished Spirit Closing Balance</t>
  </si>
  <si>
    <t>Total Bottles Produced (All sizes combined)</t>
  </si>
  <si>
    <t>Total Cases Produced</t>
  </si>
  <si>
    <t>Net Difference of the Day</t>
  </si>
  <si>
    <t>Total Allowable Wastage of the Day</t>
  </si>
  <si>
    <t>Chargeable Excess Wastage (if any)</t>
  </si>
  <si>
    <t>SIP2LIFE DISTILLERIES PVT. LTD.</t>
  </si>
  <si>
    <t>Operational Wastage in Blending/Finished VATs</t>
  </si>
  <si>
    <t>Daily Spirit Transaction Report in A.L.</t>
  </si>
  <si>
    <t>Opening Total Bottles</t>
  </si>
  <si>
    <t>Measurements or  Sizes in ml.</t>
  </si>
  <si>
    <t>Production Receipts Total Bottles</t>
  </si>
  <si>
    <t>Total Bottles to Account</t>
  </si>
  <si>
    <t>Wastage/Breakage Total Bottles</t>
  </si>
  <si>
    <t>Issue on Payment of Duty Total Bottles</t>
  </si>
  <si>
    <t>Closing Total Bottles</t>
  </si>
  <si>
    <t>Opening Total AL Liters</t>
  </si>
  <si>
    <t>Total AL to Account</t>
  </si>
  <si>
    <t>Wastage AL Liters</t>
  </si>
  <si>
    <t>Issue AL Liters</t>
  </si>
  <si>
    <t>Closing Total AL Liters</t>
  </si>
  <si>
    <t>Opening Fee Balance</t>
  </si>
  <si>
    <t>Deposit Amount</t>
  </si>
  <si>
    <t>e-Challan No. &amp; Date</t>
  </si>
  <si>
    <t>Total Credit (Opening + Deposit)</t>
  </si>
  <si>
    <t>Production Qty</t>
  </si>
  <si>
    <t>Total Production BL (Bulk Liters)</t>
  </si>
  <si>
    <t>Production Fee Debited (IML)</t>
  </si>
  <si>
    <t>Total Fee Debited</t>
  </si>
  <si>
    <t>Closing Fee Balance</t>
  </si>
  <si>
    <t>Batch &amp; Date</t>
  </si>
  <si>
    <t>Finished Goods Bottle and Bottling Fees</t>
  </si>
  <si>
    <t>Nominal Strength in % v/v</t>
  </si>
  <si>
    <t>Receipts Total AL</t>
  </si>
  <si>
    <t>Spirit Accounted in Bottled Production (Bottle Qty. × size × strength)</t>
  </si>
  <si>
    <t>Opening Balance (Reg-78)</t>
  </si>
  <si>
    <t>Received In-transit</t>
  </si>
  <si>
    <t>Operational Increse</t>
  </si>
  <si>
    <t>Operational wastage</t>
  </si>
  <si>
    <t>SST-5</t>
  </si>
  <si>
    <t>SST-6</t>
  </si>
  <si>
    <t>SST-7</t>
  </si>
  <si>
    <t>SST-8</t>
  </si>
  <si>
    <t>SST-9</t>
  </si>
  <si>
    <t>SST-10</t>
  </si>
  <si>
    <t>BT- 11</t>
  </si>
  <si>
    <t>BT- 12</t>
  </si>
  <si>
    <t>BT- 13</t>
  </si>
  <si>
    <t>BT- 14</t>
  </si>
  <si>
    <t>BT- 15</t>
  </si>
  <si>
    <t>BT- 16</t>
  </si>
  <si>
    <t>BT- 17</t>
  </si>
  <si>
    <t>Closing Balance (Reg-78)</t>
  </si>
  <si>
    <t>Operational Incr.</t>
  </si>
  <si>
    <t>Operational Wastg.</t>
  </si>
  <si>
    <t>SST &amp; BRT Names</t>
  </si>
  <si>
    <t>Dip</t>
  </si>
  <si>
    <t>Total -</t>
  </si>
  <si>
    <t>Total-</t>
  </si>
  <si>
    <t>A. Total -</t>
  </si>
  <si>
    <t>B. Total-</t>
  </si>
  <si>
    <t>Sample</t>
  </si>
  <si>
    <t>Brand</t>
  </si>
  <si>
    <t>Stock Finished Bottle Section</t>
  </si>
  <si>
    <t>Measure</t>
  </si>
  <si>
    <t>%v/v</t>
  </si>
  <si>
    <t>Qty.</t>
  </si>
  <si>
    <t>B.L.</t>
  </si>
  <si>
    <t>A.L.</t>
  </si>
  <si>
    <t>Grand Total-</t>
  </si>
  <si>
    <t>Production Incr.</t>
  </si>
  <si>
    <t>Production Wastg.</t>
  </si>
  <si>
    <t>Total Production</t>
  </si>
  <si>
    <t>Line-1</t>
  </si>
  <si>
    <t>Line-2</t>
  </si>
  <si>
    <t>Line-3</t>
  </si>
  <si>
    <t>SST &amp; BRT Detail</t>
  </si>
  <si>
    <t>Bottling Line</t>
  </si>
  <si>
    <t>Production in A.L.</t>
  </si>
  <si>
    <t>Production Incr. in A.L.</t>
  </si>
  <si>
    <t>Production Wastg. IN A.L.</t>
  </si>
  <si>
    <t>Production Detail</t>
  </si>
  <si>
    <t>Production Fee's Detail</t>
  </si>
  <si>
    <t>Bottles Production in B.L.</t>
  </si>
  <si>
    <t>Total Spirit in Hand-</t>
  </si>
  <si>
    <t>Issued Bottle Details</t>
  </si>
  <si>
    <t>Measure or Size in ml.</t>
  </si>
  <si>
    <t>Opening Balance in Rs.</t>
  </si>
  <si>
    <t>Closing Balance in Rs.</t>
  </si>
  <si>
    <t>Excise Duty Detail</t>
  </si>
  <si>
    <t xml:space="preserve">Deposit Amount in Rs. </t>
  </si>
  <si>
    <t>Total Amount Credited in Rs.</t>
  </si>
  <si>
    <t>Bottles Issed in A.L.</t>
  </si>
  <si>
    <t>Amount of duty Debited for the Issue in Rs.</t>
  </si>
  <si>
    <t>Daily Hand Book Detail</t>
  </si>
  <si>
    <t>Vats</t>
  </si>
  <si>
    <t>30.11.2025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</si>
</sst>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0.0"/>
  </numFmts>
  <fonts count="19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84">
    <xf numFmtId="0" fontId="0" fillId="0" borderId="0" xfId="0"/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/>
    <xf numFmtId="0" fontId="2" fillId="0" borderId="0" xfId="0" applyFont="1"/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4" fillId="0" borderId="0" xfId="0" applyFont="1" applyAlignme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/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19" xfId="0" applyBorder="1"/>
    <xf numFmtId="0" fontId="0" fillId="0" borderId="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5" fillId="0" borderId="1" xfId="0" applyFont="1" applyBorder="1"/>
    <xf numFmtId="0" fontId="5" fillId="0" borderId="19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35" xfId="0" applyFont="1" applyBorder="1"/>
    <xf numFmtId="0" fontId="5" fillId="0" borderId="36" xfId="0" applyFont="1" applyBorder="1"/>
    <xf numFmtId="0" fontId="0" fillId="0" borderId="37" xfId="0" applyBorder="1"/>
    <xf numFmtId="0" fontId="0" fillId="0" borderId="35" xfId="0" applyBorder="1"/>
    <xf numFmtId="0" fontId="0" fillId="0" borderId="38" xfId="0" applyBorder="1"/>
    <xf numFmtId="0" fontId="0" fillId="0" borderId="39" xfId="0" applyBorder="1"/>
    <xf numFmtId="0" fontId="0" fillId="0" borderId="36" xfId="0" applyBorder="1"/>
    <xf numFmtId="0" fontId="5" fillId="0" borderId="28" xfId="0" applyFont="1" applyBorder="1"/>
    <xf numFmtId="0" fontId="0" fillId="0" borderId="41" xfId="0" applyBorder="1"/>
    <xf numFmtId="0" fontId="0" fillId="0" borderId="28" xfId="0" applyBorder="1"/>
    <xf numFmtId="0" fontId="5" fillId="0" borderId="37" xfId="0" applyFont="1" applyBorder="1"/>
    <xf numFmtId="0" fontId="5" fillId="0" borderId="2" xfId="0" applyFont="1" applyBorder="1"/>
    <xf numFmtId="0" fontId="5" fillId="0" borderId="41" xfId="0" applyFont="1" applyBorder="1"/>
    <xf numFmtId="0" fontId="0" fillId="0" borderId="1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17" fontId="0" fillId="0" borderId="38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2" fontId="0" fillId="0" borderId="15" xfId="0" applyNumberFormat="1" applyBorder="1"/>
    <xf numFmtId="2" fontId="0" fillId="0" borderId="14" xfId="0" applyNumberFormat="1" applyBorder="1"/>
    <xf numFmtId="2" fontId="0" fillId="0" borderId="19" xfId="0" applyNumberFormat="1" applyBorder="1"/>
    <xf numFmtId="2" fontId="0" fillId="0" borderId="1" xfId="0" applyNumberFormat="1" applyBorder="1"/>
    <xf numFmtId="0" fontId="4" fillId="0" borderId="0" xfId="0" applyFont="1" applyAlignment="1">
      <alignment vertical="center"/>
    </xf>
    <xf numFmtId="0" fontId="0" fillId="5" borderId="46" xfId="0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10" borderId="4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0" applyFont="1"/>
    <xf numFmtId="0" fontId="4" fillId="0" borderId="0" xfId="0" applyFont="1"/>
    <xf numFmtId="0" fontId="0" fillId="0" borderId="4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11" borderId="53" xfId="0" applyFont="1" applyFill="1" applyBorder="1" applyAlignment="1">
      <alignment horizontal="center" vertical="center" wrapText="1"/>
    </xf>
    <xf numFmtId="0" fontId="2" fillId="11" borderId="53" xfId="0" applyFont="1" applyFill="1" applyBorder="1" applyAlignment="1">
      <alignment wrapText="1"/>
    </xf>
    <xf numFmtId="0" fontId="8" fillId="0" borderId="53" xfId="0" applyFont="1" applyBorder="1"/>
    <xf numFmtId="0" fontId="8" fillId="0" borderId="0" xfId="0" applyFont="1"/>
    <xf numFmtId="0" fontId="0" fillId="12" borderId="53" xfId="0" applyFill="1" applyBorder="1" applyAlignment="1">
      <alignment horizontal="center" vertical="center" wrapText="1"/>
    </xf>
    <xf numFmtId="0" fontId="0" fillId="13" borderId="53" xfId="0" applyFill="1" applyBorder="1" applyAlignment="1">
      <alignment vertical="center"/>
    </xf>
    <xf numFmtId="0" fontId="0" fillId="13" borderId="53" xfId="0" applyFill="1" applyBorder="1" applyAlignment="1">
      <alignment horizontal="center" vertical="center" wrapText="1"/>
    </xf>
    <xf numFmtId="0" fontId="0" fillId="13" borderId="53" xfId="0" applyFill="1" applyBorder="1" applyAlignment="1">
      <alignment vertical="center" wrapText="1"/>
    </xf>
    <xf numFmtId="0" fontId="0" fillId="12" borderId="53" xfId="0" applyFill="1" applyBorder="1" applyAlignment="1">
      <alignment vertical="center" wrapText="1"/>
    </xf>
    <xf numFmtId="0" fontId="0" fillId="12" borderId="59" xfId="0" applyFill="1" applyBorder="1" applyAlignment="1">
      <alignment horizontal="center" vertical="center" wrapText="1"/>
    </xf>
    <xf numFmtId="0" fontId="0" fillId="12" borderId="60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14" borderId="53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2" fontId="0" fillId="0" borderId="0" xfId="0" applyNumberFormat="1"/>
    <xf numFmtId="0" fontId="0" fillId="0" borderId="53" xfId="0" applyBorder="1"/>
    <xf numFmtId="0" fontId="8" fillId="0" borderId="54" xfId="0" applyFont="1" applyBorder="1"/>
    <xf numFmtId="0" fontId="0" fillId="0" borderId="54" xfId="0" applyBorder="1"/>
    <xf numFmtId="0" fontId="8" fillId="0" borderId="0" xfId="0" applyFont="1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14" borderId="57" xfId="0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/>
    <xf numFmtId="0" fontId="0" fillId="0" borderId="46" xfId="0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15" borderId="0" xfId="0" applyFont="1" applyFill="1" applyAlignment="1">
      <alignment horizontal="center" vertical="center" wrapText="1"/>
    </xf>
    <xf numFmtId="0" fontId="15" fillId="15" borderId="0" xfId="0" applyFont="1" applyFill="1" applyBorder="1" applyAlignment="1">
      <alignment horizontal="center" vertical="center" wrapText="1"/>
    </xf>
    <xf numFmtId="0" fontId="0" fillId="3" borderId="0" xfId="0" applyFill="1"/>
    <xf numFmtId="0" fontId="15" fillId="15" borderId="0" xfId="0" applyFont="1" applyFill="1" applyBorder="1" applyAlignment="1">
      <alignment horizontal="left" vertical="center" wrapText="1"/>
    </xf>
    <xf numFmtId="0" fontId="18" fillId="15" borderId="0" xfId="0" applyFont="1" applyFill="1"/>
    <xf numFmtId="0" fontId="0" fillId="11" borderId="0" xfId="0" applyFill="1"/>
    <xf numFmtId="0" fontId="15" fillId="15" borderId="0" xfId="0" applyFont="1" applyFill="1" applyAlignment="1">
      <alignment wrapText="1"/>
    </xf>
    <xf numFmtId="0" fontId="15" fillId="15" borderId="0" xfId="0" applyFont="1" applyFill="1"/>
    <xf numFmtId="0" fontId="16" fillId="3" borderId="0" xfId="0" applyFont="1" applyFill="1" applyBorder="1" applyAlignment="1">
      <alignment horizontal="left" vertical="center" wrapText="1"/>
    </xf>
    <xf numFmtId="0" fontId="12" fillId="3" borderId="0" xfId="0" applyFont="1" applyFill="1"/>
    <xf numFmtId="0" fontId="12" fillId="11" borderId="0" xfId="0" applyFont="1" applyFill="1"/>
    <xf numFmtId="0" fontId="14" fillId="3" borderId="0" xfId="0" applyFont="1" applyFill="1" applyBorder="1" applyAlignment="1">
      <alignment horizontal="center" vertical="center"/>
    </xf>
    <xf numFmtId="0" fontId="17" fillId="3" borderId="0" xfId="0" applyFont="1" applyFill="1"/>
    <xf numFmtId="0" fontId="14" fillId="3" borderId="0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5" fillId="15" borderId="0" xfId="0" applyFont="1" applyFill="1" applyAlignment="1">
      <alignment horizontal="center" vertical="center"/>
    </xf>
    <xf numFmtId="0" fontId="10" fillId="15" borderId="0" xfId="0" applyFont="1" applyFill="1"/>
    <xf numFmtId="0" fontId="15" fillId="15" borderId="0" xfId="0" applyFont="1" applyFill="1" applyAlignment="1">
      <alignment horizontal="center" wrapText="1"/>
    </xf>
    <xf numFmtId="0" fontId="15" fillId="15" borderId="0" xfId="0" applyFont="1" applyFill="1" applyAlignment="1">
      <alignment horizontal="center"/>
    </xf>
    <xf numFmtId="0" fontId="15" fillId="15" borderId="0" xfId="0" applyFont="1" applyFill="1" applyAlignment="1">
      <alignment vertical="center"/>
    </xf>
    <xf numFmtId="0" fontId="0" fillId="11" borderId="0" xfId="0" applyFill="1" applyAlignment="1">
      <alignment horizontal="center"/>
    </xf>
    <xf numFmtId="0" fontId="13" fillId="15" borderId="0" xfId="0" applyFont="1" applyFill="1"/>
    <xf numFmtId="0" fontId="15" fillId="15" borderId="0" xfId="0" applyFont="1" applyFill="1" applyBorder="1" applyAlignment="1">
      <alignment horizontal="center" vertical="center"/>
    </xf>
    <xf numFmtId="0" fontId="15" fillId="15" borderId="0" xfId="0" applyFont="1" applyFill="1" applyBorder="1" applyAlignment="1">
      <alignment horizontal="center"/>
    </xf>
    <xf numFmtId="0" fontId="11" fillId="15" borderId="0" xfId="0" applyFont="1" applyFill="1" applyAlignment="1">
      <alignment horizontal="left"/>
    </xf>
    <xf numFmtId="0" fontId="0" fillId="11" borderId="0" xfId="0" applyFill="1" applyAlignment="1">
      <alignment horizontal="center"/>
    </xf>
    <xf numFmtId="0" fontId="15" fillId="15" borderId="0" xfId="0" applyFont="1" applyFill="1" applyAlignment="1">
      <alignment horizontal="left" vertical="center" wrapText="1"/>
    </xf>
    <xf numFmtId="0" fontId="15" fillId="15" borderId="0" xfId="0" applyFont="1" applyFill="1" applyAlignment="1">
      <alignment horizontal="center" vertical="center"/>
    </xf>
    <xf numFmtId="0" fontId="15" fillId="15" borderId="0" xfId="0" applyFont="1" applyFill="1" applyAlignment="1">
      <alignment vertical="center" wrapText="1"/>
    </xf>
    <xf numFmtId="0" fontId="10" fillId="15" borderId="0" xfId="0" applyFont="1" applyFill="1" applyAlignment="1">
      <alignment horizontal="left" vertical="center"/>
    </xf>
    <xf numFmtId="0" fontId="15" fillId="15" borderId="0" xfId="0" applyFont="1" applyFill="1" applyAlignment="1">
      <alignment horizontal="left"/>
    </xf>
    <xf numFmtId="0" fontId="15" fillId="15" borderId="0" xfId="0" applyFont="1" applyFill="1" applyBorder="1" applyAlignment="1">
      <alignment horizontal="center" vertical="center" wrapText="1"/>
    </xf>
    <xf numFmtId="0" fontId="15" fillId="15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5" fillId="15" borderId="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1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7" borderId="53" xfId="0" applyFont="1" applyFill="1" applyBorder="1" applyAlignment="1">
      <alignment horizontal="center" vertical="center"/>
    </xf>
    <xf numFmtId="0" fontId="2" fillId="7" borderId="53" xfId="0" applyFont="1" applyFill="1" applyBorder="1" applyAlignment="1">
      <alignment horizontal="center" wrapText="1"/>
    </xf>
    <xf numFmtId="0" fontId="2" fillId="11" borderId="54" xfId="0" applyFont="1" applyFill="1" applyBorder="1" applyAlignment="1">
      <alignment horizontal="center" vertical="center"/>
    </xf>
    <xf numFmtId="0" fontId="2" fillId="11" borderId="55" xfId="0" applyFont="1" applyFill="1" applyBorder="1" applyAlignment="1">
      <alignment horizontal="center" vertical="center"/>
    </xf>
    <xf numFmtId="0" fontId="2" fillId="11" borderId="56" xfId="0" applyFont="1" applyFill="1" applyBorder="1" applyAlignment="1">
      <alignment horizontal="center" vertical="center"/>
    </xf>
    <xf numFmtId="0" fontId="2" fillId="7" borderId="54" xfId="0" applyFont="1" applyFill="1" applyBorder="1" applyAlignment="1">
      <alignment horizontal="center" vertical="center"/>
    </xf>
    <xf numFmtId="0" fontId="2" fillId="7" borderId="56" xfId="0" applyFont="1" applyFill="1" applyBorder="1" applyAlignment="1">
      <alignment horizontal="center" vertical="center"/>
    </xf>
    <xf numFmtId="0" fontId="2" fillId="7" borderId="55" xfId="0" applyFont="1" applyFill="1" applyBorder="1" applyAlignment="1">
      <alignment horizontal="center" vertical="center"/>
    </xf>
    <xf numFmtId="0" fontId="2" fillId="11" borderId="57" xfId="0" applyFont="1" applyFill="1" applyBorder="1" applyAlignment="1">
      <alignment horizontal="center" vertical="center" wrapText="1"/>
    </xf>
    <xf numFmtId="0" fontId="2" fillId="11" borderId="58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0" fillId="0" borderId="1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0" fontId="3" fillId="4" borderId="47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3" fillId="4" borderId="48" xfId="0" applyFont="1" applyFill="1" applyBorder="1" applyAlignment="1">
      <alignment horizontal="center" vertical="center" wrapText="1"/>
    </xf>
    <xf numFmtId="0" fontId="3" fillId="7" borderId="47" xfId="0" applyFont="1" applyFill="1" applyBorder="1" applyAlignment="1">
      <alignment horizontal="center" vertical="center" wrapText="1"/>
    </xf>
    <xf numFmtId="0" fontId="3" fillId="7" borderId="27" xfId="0" applyFont="1" applyFill="1" applyBorder="1" applyAlignment="1">
      <alignment horizontal="center" vertical="center" wrapText="1"/>
    </xf>
    <xf numFmtId="0" fontId="3" fillId="7" borderId="48" xfId="0" applyFont="1" applyFill="1" applyBorder="1" applyAlignment="1">
      <alignment horizontal="center" vertical="center" wrapText="1"/>
    </xf>
    <xf numFmtId="0" fontId="3" fillId="8" borderId="47" xfId="0" applyFont="1" applyFill="1" applyBorder="1" applyAlignment="1">
      <alignment horizontal="center" vertical="center" wrapText="1"/>
    </xf>
    <xf numFmtId="0" fontId="3" fillId="8" borderId="27" xfId="0" applyFont="1" applyFill="1" applyBorder="1" applyAlignment="1">
      <alignment horizontal="center" vertical="center" wrapText="1"/>
    </xf>
    <xf numFmtId="0" fontId="3" fillId="8" borderId="48" xfId="0" applyFont="1" applyFill="1" applyBorder="1" applyAlignment="1">
      <alignment horizontal="center" vertical="center" wrapText="1"/>
    </xf>
    <xf numFmtId="0" fontId="3" fillId="6" borderId="47" xfId="0" applyFont="1" applyFill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 wrapText="1"/>
    </xf>
    <xf numFmtId="0" fontId="3" fillId="6" borderId="48" xfId="0" applyFont="1" applyFill="1" applyBorder="1" applyAlignment="1">
      <alignment horizontal="center" vertical="center" wrapText="1"/>
    </xf>
    <xf numFmtId="0" fontId="7" fillId="9" borderId="47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7" fillId="9" borderId="4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showGridLines="0" zoomScaleNormal="100" workbookViewId="0">
      <selection activeCell="I17" sqref="I17"/>
    </sheetView>
  </sheetViews>
  <sheetFormatPr defaultRowHeight="14.4" x14ac:dyDescent="0.3"/>
  <sheetData>
    <row r="1" spans="1:23" x14ac:dyDescent="0.3">
      <c r="A1" s="178" t="s">
        <v>289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</row>
    <row r="2" spans="1:23" x14ac:dyDescent="0.3">
      <c r="A2" s="178" t="s">
        <v>291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</row>
    <row r="3" spans="1:23" s="150" customFormat="1" ht="96" x14ac:dyDescent="0.3">
      <c r="A3" s="154" t="s">
        <v>148</v>
      </c>
      <c r="B3" s="154" t="s">
        <v>270</v>
      </c>
      <c r="C3" s="154" t="s">
        <v>271</v>
      </c>
      <c r="D3" s="154" t="s">
        <v>272</v>
      </c>
      <c r="E3" s="154" t="s">
        <v>273</v>
      </c>
      <c r="F3" s="154" t="s">
        <v>274</v>
      </c>
      <c r="G3" s="154" t="s">
        <v>275</v>
      </c>
      <c r="H3" s="154" t="s">
        <v>276</v>
      </c>
      <c r="I3" s="154" t="s">
        <v>277</v>
      </c>
      <c r="J3" s="154" t="s">
        <v>278</v>
      </c>
      <c r="K3" s="154" t="s">
        <v>279</v>
      </c>
      <c r="L3" s="154" t="s">
        <v>290</v>
      </c>
      <c r="M3" s="154" t="s">
        <v>280</v>
      </c>
      <c r="N3" s="154" t="s">
        <v>281</v>
      </c>
      <c r="O3" s="154" t="s">
        <v>283</v>
      </c>
      <c r="P3" s="154" t="s">
        <v>67</v>
      </c>
      <c r="Q3" s="154" t="s">
        <v>282</v>
      </c>
      <c r="R3" s="154" t="s">
        <v>284</v>
      </c>
      <c r="S3" s="154" t="s">
        <v>285</v>
      </c>
      <c r="T3" s="154" t="s">
        <v>317</v>
      </c>
      <c r="U3" s="154" t="s">
        <v>286</v>
      </c>
      <c r="V3" s="154" t="s">
        <v>287</v>
      </c>
      <c r="W3" s="154" t="s">
        <v>288</v>
      </c>
    </row>
    <row r="4" spans="1:23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</row>
    <row r="5" spans="1:23" x14ac:dyDescent="0.3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</row>
    <row r="6" spans="1:23" x14ac:dyDescent="0.3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</row>
    <row r="7" spans="1:23" x14ac:dyDescent="0.3">
      <c r="A7" s="153"/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</row>
    <row r="8" spans="1:23" x14ac:dyDescent="0.3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</row>
    <row r="9" spans="1:23" x14ac:dyDescent="0.3">
      <c r="A9" s="153"/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</row>
    <row r="10" spans="1:23" x14ac:dyDescent="0.3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</row>
    <row r="11" spans="1:23" x14ac:dyDescent="0.3">
      <c r="A11" s="153"/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</row>
    <row r="12" spans="1:23" x14ac:dyDescent="0.3">
      <c r="A12" s="153"/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</row>
    <row r="13" spans="1:23" x14ac:dyDescent="0.3">
      <c r="A13" s="153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</row>
    <row r="14" spans="1:23" x14ac:dyDescent="0.3">
      <c r="A14" s="153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</row>
    <row r="15" spans="1:23" x14ac:dyDescent="0.3">
      <c r="A15" s="153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</row>
    <row r="16" spans="1:23" x14ac:dyDescent="0.3">
      <c r="A16" s="153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</row>
    <row r="17" spans="1:23" x14ac:dyDescent="0.3">
      <c r="A17" s="153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</row>
    <row r="18" spans="1:23" x14ac:dyDescent="0.3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</row>
    <row r="19" spans="1:23" x14ac:dyDescent="0.3">
      <c r="A19" s="153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</row>
    <row r="20" spans="1:23" x14ac:dyDescent="0.3">
      <c r="A20" s="153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</row>
    <row r="21" spans="1:23" x14ac:dyDescent="0.3">
      <c r="A21" s="153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</row>
    <row r="22" spans="1:23" x14ac:dyDescent="0.3">
      <c r="A22" s="153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</row>
    <row r="23" spans="1:23" x14ac:dyDescent="0.3">
      <c r="A23" s="153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</row>
  </sheetData>
  <mergeCells count="2">
    <mergeCell ref="A1:W1"/>
    <mergeCell ref="A2:W2"/>
  </mergeCells>
  <pageMargins left="0.25" right="0.25" top="0.75" bottom="0.75" header="0.3" footer="0.3"/>
  <pageSetup paperSize="9" scale="7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"/>
  <sheetViews>
    <sheetView showGridLines="0" zoomScaleNormal="100" workbookViewId="0">
      <selection activeCell="O20" sqref="O20"/>
    </sheetView>
  </sheetViews>
  <sheetFormatPr defaultRowHeight="14.4" x14ac:dyDescent="0.3"/>
  <cols>
    <col min="2" max="2" width="8.77734375" customWidth="1"/>
    <col min="3" max="3" width="7.5546875" bestFit="1" customWidth="1"/>
    <col min="4" max="9" width="6.6640625" customWidth="1"/>
    <col min="10" max="10" width="6.6640625" bestFit="1" customWidth="1"/>
    <col min="11" max="11" width="8.33203125" bestFit="1" customWidth="1"/>
    <col min="12" max="12" width="7.44140625" bestFit="1" customWidth="1"/>
    <col min="13" max="13" width="8.21875" bestFit="1" customWidth="1"/>
    <col min="14" max="14" width="8.6640625" bestFit="1" customWidth="1"/>
    <col min="15" max="15" width="5.77734375" bestFit="1" customWidth="1"/>
    <col min="16" max="17" width="6.6640625" bestFit="1" customWidth="1"/>
    <col min="18" max="18" width="6.33203125" bestFit="1" customWidth="1"/>
    <col min="19" max="19" width="6.6640625" bestFit="1" customWidth="1"/>
    <col min="20" max="20" width="6.33203125" bestFit="1" customWidth="1"/>
    <col min="21" max="21" width="6.21875" bestFit="1" customWidth="1"/>
    <col min="22" max="22" width="6.6640625" bestFit="1" customWidth="1"/>
    <col min="23" max="23" width="6.33203125" bestFit="1" customWidth="1"/>
    <col min="24" max="24" width="7.33203125" bestFit="1" customWidth="1"/>
    <col min="25" max="25" width="8.77734375" bestFit="1" customWidth="1"/>
    <col min="26" max="28" width="8.33203125" bestFit="1" customWidth="1"/>
    <col min="29" max="29" width="7.109375" bestFit="1" customWidth="1"/>
    <col min="30" max="30" width="6.109375" bestFit="1" customWidth="1"/>
  </cols>
  <sheetData>
    <row r="1" spans="1:30" x14ac:dyDescent="0.3">
      <c r="A1" s="156"/>
      <c r="B1" s="178" t="s">
        <v>289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</row>
    <row r="2" spans="1:30" x14ac:dyDescent="0.3">
      <c r="A2" s="156"/>
      <c r="B2" s="178" t="s">
        <v>314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</row>
    <row r="3" spans="1:30" ht="48.6" customHeight="1" x14ac:dyDescent="0.3">
      <c r="A3" s="182" t="s">
        <v>148</v>
      </c>
      <c r="B3" s="157" t="s">
        <v>313</v>
      </c>
      <c r="C3" s="179" t="s">
        <v>315</v>
      </c>
      <c r="D3" s="180" t="s">
        <v>293</v>
      </c>
      <c r="E3" s="180"/>
      <c r="F3" s="180"/>
      <c r="G3" s="180"/>
      <c r="H3" s="180"/>
      <c r="I3" s="180"/>
      <c r="J3" s="181" t="s">
        <v>292</v>
      </c>
      <c r="K3" s="181" t="s">
        <v>294</v>
      </c>
      <c r="L3" s="181" t="s">
        <v>295</v>
      </c>
      <c r="M3" s="181" t="s">
        <v>296</v>
      </c>
      <c r="N3" s="181" t="s">
        <v>297</v>
      </c>
      <c r="O3" s="181" t="s">
        <v>298</v>
      </c>
      <c r="P3" s="181" t="s">
        <v>299</v>
      </c>
      <c r="Q3" s="181" t="s">
        <v>316</v>
      </c>
      <c r="R3" s="181" t="s">
        <v>300</v>
      </c>
      <c r="S3" s="181" t="s">
        <v>301</v>
      </c>
      <c r="T3" s="181" t="s">
        <v>302</v>
      </c>
      <c r="U3" s="181" t="s">
        <v>303</v>
      </c>
      <c r="V3" s="181" t="s">
        <v>304</v>
      </c>
      <c r="W3" s="181" t="s">
        <v>305</v>
      </c>
      <c r="X3" s="181" t="s">
        <v>306</v>
      </c>
      <c r="Y3" s="181" t="s">
        <v>307</v>
      </c>
      <c r="Z3" s="181" t="s">
        <v>308</v>
      </c>
      <c r="AA3" s="181" t="s">
        <v>309</v>
      </c>
      <c r="AB3" s="181" t="s">
        <v>310</v>
      </c>
      <c r="AC3" s="181" t="s">
        <v>311</v>
      </c>
      <c r="AD3" s="181" t="s">
        <v>312</v>
      </c>
    </row>
    <row r="4" spans="1:30" x14ac:dyDescent="0.3">
      <c r="A4" s="182"/>
      <c r="B4" s="158"/>
      <c r="C4" s="179"/>
      <c r="D4" s="152" t="s">
        <v>149</v>
      </c>
      <c r="E4" s="152" t="s">
        <v>154</v>
      </c>
      <c r="F4" s="152" t="s">
        <v>150</v>
      </c>
      <c r="G4" s="152" t="s">
        <v>151</v>
      </c>
      <c r="H4" s="152" t="s">
        <v>152</v>
      </c>
      <c r="I4" s="152" t="s">
        <v>153</v>
      </c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</row>
    <row r="5" spans="1:30" x14ac:dyDescent="0.3">
      <c r="A5" s="153"/>
      <c r="B5" s="153"/>
      <c r="C5" s="159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</row>
    <row r="6" spans="1:30" x14ac:dyDescent="0.3">
      <c r="A6" s="153"/>
      <c r="B6" s="153"/>
      <c r="C6" s="159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</row>
    <row r="7" spans="1:30" x14ac:dyDescent="0.3">
      <c r="A7" s="153"/>
      <c r="B7" s="153"/>
      <c r="C7" s="159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</row>
    <row r="8" spans="1:30" x14ac:dyDescent="0.3">
      <c r="A8" s="153"/>
      <c r="B8" s="153"/>
      <c r="C8" s="159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</row>
    <row r="9" spans="1:30" x14ac:dyDescent="0.3">
      <c r="A9" s="153"/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</row>
    <row r="10" spans="1:30" x14ac:dyDescent="0.3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</row>
    <row r="11" spans="1:30" x14ac:dyDescent="0.3">
      <c r="A11" s="153"/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</row>
    <row r="12" spans="1:30" x14ac:dyDescent="0.3">
      <c r="A12" s="153"/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</row>
    <row r="13" spans="1:30" x14ac:dyDescent="0.3">
      <c r="A13" s="153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</row>
    <row r="14" spans="1:30" x14ac:dyDescent="0.3">
      <c r="A14" s="153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</row>
    <row r="15" spans="1:30" x14ac:dyDescent="0.3">
      <c r="A15" s="153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</row>
    <row r="16" spans="1:30" x14ac:dyDescent="0.3">
      <c r="A16" s="153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</row>
    <row r="17" spans="1:30" x14ac:dyDescent="0.3">
      <c r="A17" s="153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</row>
    <row r="18" spans="1:30" x14ac:dyDescent="0.3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</row>
    <row r="19" spans="1:30" x14ac:dyDescent="0.3">
      <c r="A19" s="153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</row>
    <row r="20" spans="1:30" x14ac:dyDescent="0.3">
      <c r="A20" s="153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</row>
    <row r="21" spans="1:30" x14ac:dyDescent="0.3">
      <c r="A21" s="153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</row>
    <row r="22" spans="1:30" x14ac:dyDescent="0.3">
      <c r="A22" s="153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</row>
    <row r="23" spans="1:30" x14ac:dyDescent="0.3">
      <c r="A23" s="153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</row>
    <row r="24" spans="1:30" x14ac:dyDescent="0.3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</row>
    <row r="25" spans="1:30" x14ac:dyDescent="0.3">
      <c r="A25" s="153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</row>
  </sheetData>
  <mergeCells count="26">
    <mergeCell ref="AD3:AD4"/>
    <mergeCell ref="K3:K4"/>
    <mergeCell ref="B1:AD1"/>
    <mergeCell ref="B2:AD2"/>
    <mergeCell ref="A3:A4"/>
    <mergeCell ref="X3:X4"/>
    <mergeCell ref="Y3:Y4"/>
    <mergeCell ref="Z3:Z4"/>
    <mergeCell ref="AA3:AA4"/>
    <mergeCell ref="AB3:AB4"/>
    <mergeCell ref="AC3:AC4"/>
    <mergeCell ref="R3:R4"/>
    <mergeCell ref="S3:S4"/>
    <mergeCell ref="T3:T4"/>
    <mergeCell ref="U3:U4"/>
    <mergeCell ref="V3:V4"/>
    <mergeCell ref="C3:C4"/>
    <mergeCell ref="D3:I3"/>
    <mergeCell ref="J3:J4"/>
    <mergeCell ref="W3:W4"/>
    <mergeCell ref="L3:L4"/>
    <mergeCell ref="M3:M4"/>
    <mergeCell ref="N3:N4"/>
    <mergeCell ref="O3:O4"/>
    <mergeCell ref="P3:P4"/>
    <mergeCell ref="Q3:Q4"/>
  </mergeCells>
  <pageMargins left="0.23622047244094491" right="3.937007874015748E-2" top="0.74803149606299213" bottom="0.74803149606299213" header="0.31496062992125984" footer="0.31496062992125984"/>
  <pageSetup paperSize="9" scale="68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showGridLines="0" tabSelected="1" zoomScaleNormal="100" workbookViewId="0">
      <selection activeCell="E60" sqref="E60:J60"/>
    </sheetView>
  </sheetViews>
  <sheetFormatPr defaultRowHeight="14.4" x14ac:dyDescent="0.3"/>
  <cols>
    <col min="1" max="1" width="18.33203125" customWidth="1"/>
    <col min="2" max="2" width="11.5546875" customWidth="1"/>
    <col min="3" max="3" width="12.88671875" customWidth="1"/>
    <col min="4" max="4" width="8.44140625" customWidth="1"/>
    <col min="5" max="5" width="9.44140625" customWidth="1"/>
    <col min="7" max="7" width="7.6640625" bestFit="1" customWidth="1"/>
    <col min="8" max="11" width="9.77734375" customWidth="1"/>
    <col min="12" max="12" width="10.109375" customWidth="1"/>
  </cols>
  <sheetData>
    <row r="1" spans="1:13" x14ac:dyDescent="0.3">
      <c r="A1" s="178" t="s">
        <v>289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3" x14ac:dyDescent="0.3">
      <c r="A2" s="178" t="s">
        <v>377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3" x14ac:dyDescent="0.3">
      <c r="A3" s="177" t="s">
        <v>148</v>
      </c>
      <c r="B3" s="186" t="s">
        <v>379</v>
      </c>
      <c r="C3" s="186"/>
      <c r="D3" s="173"/>
      <c r="E3" s="173"/>
      <c r="F3" s="173"/>
      <c r="G3" s="173"/>
      <c r="H3" s="173"/>
      <c r="I3" s="173"/>
      <c r="J3" s="173"/>
      <c r="K3" s="173"/>
      <c r="L3" s="173"/>
      <c r="M3" s="173"/>
    </row>
    <row r="4" spans="1:13" x14ac:dyDescent="0.3">
      <c r="A4" s="161"/>
      <c r="B4" s="161"/>
      <c r="C4" s="161"/>
      <c r="D4" s="161"/>
      <c r="E4" s="185" t="s">
        <v>359</v>
      </c>
      <c r="F4" s="185"/>
      <c r="G4" s="185"/>
      <c r="H4" s="185"/>
      <c r="I4" s="185"/>
      <c r="J4" s="161"/>
      <c r="K4" s="161"/>
      <c r="L4" s="161"/>
      <c r="M4" s="161"/>
    </row>
    <row r="5" spans="1:13" x14ac:dyDescent="0.3">
      <c r="A5" s="161"/>
      <c r="B5" s="161"/>
      <c r="C5" s="161"/>
      <c r="D5" s="161"/>
      <c r="E5" s="171" t="s">
        <v>378</v>
      </c>
      <c r="F5" s="171" t="s">
        <v>339</v>
      </c>
      <c r="G5" s="171" t="s">
        <v>350</v>
      </c>
      <c r="H5" s="171" t="s">
        <v>348</v>
      </c>
      <c r="I5" s="171" t="s">
        <v>351</v>
      </c>
      <c r="J5" s="161"/>
      <c r="K5" s="161"/>
      <c r="L5" s="161"/>
      <c r="M5" s="161"/>
    </row>
    <row r="6" spans="1:13" x14ac:dyDescent="0.3">
      <c r="A6" s="158" t="s">
        <v>318</v>
      </c>
      <c r="B6" s="160"/>
      <c r="C6" s="160"/>
      <c r="D6" s="160"/>
      <c r="E6" s="172" t="s">
        <v>322</v>
      </c>
      <c r="F6" s="160"/>
      <c r="G6" s="160"/>
      <c r="H6" s="160"/>
      <c r="I6" s="160"/>
      <c r="J6" s="160"/>
      <c r="K6" s="160"/>
      <c r="L6" s="160"/>
      <c r="M6" s="160"/>
    </row>
    <row r="7" spans="1:13" x14ac:dyDescent="0.3">
      <c r="A7" s="158" t="s">
        <v>319</v>
      </c>
      <c r="B7" s="160"/>
      <c r="C7" s="160"/>
      <c r="D7" s="160"/>
      <c r="E7" s="172" t="s">
        <v>323</v>
      </c>
      <c r="F7" s="160"/>
      <c r="G7" s="160"/>
      <c r="H7" s="160"/>
      <c r="I7" s="160"/>
      <c r="J7" s="160"/>
      <c r="K7" s="160"/>
      <c r="L7" s="160"/>
      <c r="M7" s="160"/>
    </row>
    <row r="8" spans="1:13" x14ac:dyDescent="0.3">
      <c r="A8" s="158" t="s">
        <v>353</v>
      </c>
      <c r="B8" s="160"/>
      <c r="C8" s="160"/>
      <c r="D8" s="160"/>
      <c r="E8" s="172" t="s">
        <v>324</v>
      </c>
      <c r="F8" s="160"/>
      <c r="G8" s="160"/>
      <c r="H8" s="160"/>
      <c r="I8" s="160"/>
      <c r="J8" s="160"/>
      <c r="K8" s="160"/>
      <c r="L8" s="160"/>
      <c r="M8" s="160"/>
    </row>
    <row r="9" spans="1:13" x14ac:dyDescent="0.3">
      <c r="A9" s="158" t="s">
        <v>354</v>
      </c>
      <c r="B9" s="160"/>
      <c r="C9" s="160"/>
      <c r="D9" s="160"/>
      <c r="E9" s="172" t="s">
        <v>325</v>
      </c>
      <c r="F9" s="160"/>
      <c r="G9" s="160"/>
      <c r="H9" s="160"/>
      <c r="I9" s="160"/>
      <c r="J9" s="160"/>
      <c r="K9" s="160"/>
      <c r="L9" s="160"/>
      <c r="M9" s="160"/>
    </row>
    <row r="10" spans="1:13" x14ac:dyDescent="0.3">
      <c r="A10" s="158" t="s">
        <v>320</v>
      </c>
      <c r="B10" s="160"/>
      <c r="C10" s="160"/>
      <c r="D10" s="160"/>
      <c r="E10" s="172" t="s">
        <v>326</v>
      </c>
      <c r="F10" s="160"/>
      <c r="G10" s="160"/>
      <c r="H10" s="160"/>
      <c r="I10" s="160"/>
      <c r="J10" s="160"/>
      <c r="K10" s="160"/>
      <c r="L10" s="160"/>
      <c r="M10" s="160"/>
    </row>
    <row r="11" spans="1:13" x14ac:dyDescent="0.3">
      <c r="A11" s="158" t="s">
        <v>321</v>
      </c>
      <c r="B11" s="160"/>
      <c r="C11" s="160"/>
      <c r="D11" s="160"/>
      <c r="E11" s="172" t="s">
        <v>327</v>
      </c>
      <c r="F11" s="160"/>
      <c r="G11" s="160"/>
      <c r="H11" s="160"/>
      <c r="I11" s="160"/>
      <c r="J11" s="160"/>
      <c r="K11" s="160"/>
      <c r="L11" s="160"/>
      <c r="M11" s="160"/>
    </row>
    <row r="12" spans="1:13" x14ac:dyDescent="0.3">
      <c r="A12" s="158" t="s">
        <v>344</v>
      </c>
      <c r="B12" s="160"/>
      <c r="C12" s="160"/>
      <c r="D12" s="160"/>
      <c r="E12" s="172" t="s">
        <v>342</v>
      </c>
      <c r="F12" s="160"/>
      <c r="G12" s="160"/>
      <c r="H12" s="160"/>
      <c r="I12" s="160"/>
      <c r="J12" s="160"/>
      <c r="K12" s="160"/>
      <c r="L12" s="160"/>
      <c r="M12" s="160"/>
    </row>
    <row r="13" spans="1:13" x14ac:dyDescent="0.3">
      <c r="A13" s="158" t="s">
        <v>355</v>
      </c>
      <c r="B13" s="160"/>
      <c r="C13" s="160"/>
      <c r="D13" s="160"/>
      <c r="E13" s="172" t="s">
        <v>328</v>
      </c>
      <c r="F13" s="160"/>
      <c r="G13" s="160"/>
      <c r="H13" s="160"/>
      <c r="I13" s="160"/>
      <c r="J13" s="160"/>
      <c r="K13" s="160"/>
      <c r="L13" s="160"/>
      <c r="M13" s="160"/>
    </row>
    <row r="14" spans="1:13" x14ac:dyDescent="0.3">
      <c r="A14" s="158" t="s">
        <v>335</v>
      </c>
      <c r="B14" s="160"/>
      <c r="C14" s="160"/>
      <c r="D14" s="160"/>
      <c r="E14" s="172" t="s">
        <v>329</v>
      </c>
      <c r="F14" s="160"/>
      <c r="G14" s="160"/>
      <c r="H14" s="160"/>
      <c r="I14" s="160"/>
      <c r="J14" s="160"/>
      <c r="K14" s="160"/>
      <c r="L14" s="160"/>
      <c r="M14" s="160"/>
    </row>
    <row r="15" spans="1:13" ht="27" customHeight="1" x14ac:dyDescent="0.3">
      <c r="A15" s="168" t="s">
        <v>338</v>
      </c>
      <c r="B15" s="170" t="s">
        <v>336</v>
      </c>
      <c r="C15" s="170" t="s">
        <v>337</v>
      </c>
      <c r="D15" s="151" t="s">
        <v>344</v>
      </c>
      <c r="E15" s="172" t="s">
        <v>330</v>
      </c>
      <c r="F15" s="160"/>
      <c r="G15" s="160"/>
      <c r="H15" s="160"/>
      <c r="I15" s="160"/>
      <c r="J15" s="160"/>
      <c r="K15" s="160"/>
      <c r="L15" s="160"/>
      <c r="M15" s="160"/>
    </row>
    <row r="16" spans="1:13" x14ac:dyDescent="0.3">
      <c r="A16" s="158" t="s">
        <v>322</v>
      </c>
      <c r="B16" s="160"/>
      <c r="C16" s="160"/>
      <c r="D16" s="160"/>
      <c r="E16" s="172" t="s">
        <v>331</v>
      </c>
      <c r="F16" s="160"/>
      <c r="G16" s="160"/>
      <c r="H16" s="160"/>
      <c r="I16" s="160"/>
      <c r="J16" s="160"/>
      <c r="K16" s="160"/>
      <c r="L16" s="160"/>
      <c r="M16" s="160"/>
    </row>
    <row r="17" spans="1:13" x14ac:dyDescent="0.3">
      <c r="A17" s="158" t="s">
        <v>323</v>
      </c>
      <c r="B17" s="160"/>
      <c r="C17" s="160"/>
      <c r="D17" s="160"/>
      <c r="E17" s="172" t="s">
        <v>332</v>
      </c>
      <c r="F17" s="160"/>
      <c r="G17" s="160"/>
      <c r="H17" s="160"/>
      <c r="I17" s="160"/>
      <c r="J17" s="160"/>
      <c r="K17" s="160"/>
      <c r="L17" s="160"/>
      <c r="M17" s="160"/>
    </row>
    <row r="18" spans="1:13" x14ac:dyDescent="0.3">
      <c r="A18" s="158" t="s">
        <v>324</v>
      </c>
      <c r="B18" s="160"/>
      <c r="C18" s="160"/>
      <c r="D18" s="160"/>
      <c r="E18" s="172" t="s">
        <v>333</v>
      </c>
      <c r="F18" s="160"/>
      <c r="G18" s="160"/>
      <c r="H18" s="160"/>
      <c r="I18" s="160"/>
      <c r="J18" s="160"/>
      <c r="K18" s="160"/>
      <c r="L18" s="160"/>
      <c r="M18" s="160"/>
    </row>
    <row r="19" spans="1:13" x14ac:dyDescent="0.3">
      <c r="A19" s="158" t="s">
        <v>325</v>
      </c>
      <c r="B19" s="160"/>
      <c r="C19" s="160"/>
      <c r="D19" s="160"/>
      <c r="E19" s="172" t="s">
        <v>334</v>
      </c>
      <c r="F19" s="160"/>
      <c r="G19" s="160"/>
      <c r="H19" s="160"/>
      <c r="I19" s="160"/>
      <c r="J19" s="160"/>
      <c r="K19" s="160"/>
      <c r="L19" s="160"/>
      <c r="M19" s="160"/>
    </row>
    <row r="20" spans="1:13" x14ac:dyDescent="0.3">
      <c r="A20" s="158" t="s">
        <v>326</v>
      </c>
      <c r="B20" s="160"/>
      <c r="C20" s="160"/>
      <c r="D20" s="160"/>
      <c r="E20" s="172" t="s">
        <v>343</v>
      </c>
      <c r="F20" s="160"/>
      <c r="G20" s="160"/>
      <c r="H20" s="160"/>
      <c r="I20" s="160"/>
      <c r="J20" s="160"/>
      <c r="K20" s="160"/>
      <c r="L20" s="160"/>
      <c r="M20" s="160"/>
    </row>
    <row r="21" spans="1:13" x14ac:dyDescent="0.3">
      <c r="A21" s="158" t="s">
        <v>327</v>
      </c>
      <c r="B21" s="160"/>
      <c r="C21" s="160"/>
      <c r="D21" s="160"/>
      <c r="E21" s="158" t="s">
        <v>352</v>
      </c>
      <c r="F21" s="160"/>
      <c r="G21" s="160"/>
      <c r="H21" s="160"/>
      <c r="I21" s="160"/>
      <c r="J21" s="160"/>
      <c r="K21" s="160"/>
      <c r="L21" s="160"/>
      <c r="M21" s="160"/>
    </row>
    <row r="22" spans="1:13" x14ac:dyDescent="0.3">
      <c r="A22" s="169"/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</row>
    <row r="23" spans="1:13" x14ac:dyDescent="0.3">
      <c r="A23" s="158" t="s">
        <v>328</v>
      </c>
      <c r="B23" s="160"/>
      <c r="C23" s="160"/>
      <c r="D23" s="160"/>
      <c r="E23" s="185" t="s">
        <v>346</v>
      </c>
      <c r="F23" s="185"/>
      <c r="G23" s="185"/>
      <c r="H23" s="185"/>
      <c r="I23" s="185"/>
      <c r="J23" s="160"/>
      <c r="K23" s="160"/>
      <c r="L23" s="160"/>
      <c r="M23" s="160"/>
    </row>
    <row r="24" spans="1:13" x14ac:dyDescent="0.3">
      <c r="A24" s="158" t="s">
        <v>329</v>
      </c>
      <c r="B24" s="160"/>
      <c r="C24" s="160"/>
      <c r="D24" s="160"/>
      <c r="E24" s="152" t="s">
        <v>345</v>
      </c>
      <c r="F24" s="171" t="s">
        <v>347</v>
      </c>
      <c r="G24" s="171" t="s">
        <v>348</v>
      </c>
      <c r="H24" s="171" t="s">
        <v>349</v>
      </c>
      <c r="I24" s="171" t="s">
        <v>351</v>
      </c>
      <c r="J24" s="160"/>
      <c r="K24" s="160"/>
      <c r="L24" s="160"/>
      <c r="M24" s="160"/>
    </row>
    <row r="25" spans="1:13" x14ac:dyDescent="0.3">
      <c r="A25" s="158" t="s">
        <v>330</v>
      </c>
      <c r="B25" s="160"/>
      <c r="C25" s="160"/>
      <c r="D25" s="160"/>
      <c r="E25" s="162"/>
      <c r="F25" s="163"/>
      <c r="G25" s="160"/>
      <c r="H25" s="160"/>
      <c r="I25" s="160"/>
      <c r="J25" s="160"/>
      <c r="K25" s="160"/>
      <c r="L25" s="160"/>
      <c r="M25" s="160"/>
    </row>
    <row r="26" spans="1:13" x14ac:dyDescent="0.3">
      <c r="A26" s="158" t="s">
        <v>331</v>
      </c>
      <c r="B26" s="160"/>
      <c r="C26" s="160"/>
      <c r="D26" s="160"/>
      <c r="E26" s="164"/>
      <c r="F26" s="160"/>
      <c r="G26" s="160"/>
      <c r="H26" s="160"/>
      <c r="I26" s="160"/>
      <c r="J26" s="160"/>
      <c r="K26" s="160"/>
      <c r="L26" s="160"/>
      <c r="M26" s="160"/>
    </row>
    <row r="27" spans="1:13" x14ac:dyDescent="0.3">
      <c r="A27" s="158" t="s">
        <v>332</v>
      </c>
      <c r="B27" s="160"/>
      <c r="C27" s="160"/>
      <c r="D27" s="160"/>
      <c r="E27" s="164"/>
      <c r="F27" s="160"/>
      <c r="G27" s="160"/>
      <c r="H27" s="160"/>
      <c r="I27" s="160"/>
      <c r="J27" s="160"/>
      <c r="K27" s="160"/>
      <c r="L27" s="160"/>
      <c r="M27" s="160"/>
    </row>
    <row r="28" spans="1:13" x14ac:dyDescent="0.3">
      <c r="A28" s="158" t="s">
        <v>333</v>
      </c>
      <c r="B28" s="160"/>
      <c r="C28" s="160"/>
      <c r="D28" s="160"/>
      <c r="E28" s="164"/>
      <c r="F28" s="160"/>
      <c r="G28" s="160"/>
      <c r="H28" s="160"/>
      <c r="I28" s="160"/>
      <c r="J28" s="160"/>
      <c r="K28" s="160"/>
      <c r="L28" s="160"/>
      <c r="M28" s="160"/>
    </row>
    <row r="29" spans="1:13" x14ac:dyDescent="0.3">
      <c r="A29" s="158" t="s">
        <v>334</v>
      </c>
      <c r="B29" s="160"/>
      <c r="C29" s="160"/>
      <c r="D29" s="160"/>
      <c r="E29" s="165" t="s">
        <v>153</v>
      </c>
      <c r="F29" s="160"/>
      <c r="G29" s="160"/>
      <c r="H29" s="160"/>
      <c r="I29" s="160"/>
      <c r="J29" s="160"/>
      <c r="K29" s="160"/>
      <c r="L29" s="160"/>
      <c r="M29" s="160"/>
    </row>
    <row r="30" spans="1:13" x14ac:dyDescent="0.3">
      <c r="A30" s="155" t="s">
        <v>341</v>
      </c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</row>
    <row r="31" spans="1:13" x14ac:dyDescent="0.3">
      <c r="A31" s="153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</row>
    <row r="32" spans="1:13" x14ac:dyDescent="0.3">
      <c r="A32" s="160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</row>
    <row r="33" spans="1:13" x14ac:dyDescent="0.3">
      <c r="A33" s="160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</row>
    <row r="34" spans="1:13" x14ac:dyDescent="0.3">
      <c r="A34" s="160"/>
      <c r="B34" s="160"/>
      <c r="C34" s="160"/>
      <c r="D34" s="160"/>
      <c r="E34" s="183" t="s">
        <v>341</v>
      </c>
      <c r="F34" s="183"/>
      <c r="G34" s="183"/>
      <c r="H34" s="160"/>
      <c r="I34" s="160"/>
      <c r="J34" s="160"/>
      <c r="K34" s="160"/>
      <c r="L34" s="160"/>
      <c r="M34" s="160"/>
    </row>
    <row r="35" spans="1:13" x14ac:dyDescent="0.3">
      <c r="A35" s="160"/>
      <c r="B35" s="160"/>
      <c r="C35" s="160"/>
      <c r="D35" s="160"/>
      <c r="E35" s="183" t="s">
        <v>367</v>
      </c>
      <c r="F35" s="183"/>
      <c r="G35" s="183"/>
      <c r="H35" s="160"/>
      <c r="I35" s="160"/>
      <c r="J35" s="160"/>
      <c r="K35" s="160"/>
      <c r="L35" s="160"/>
      <c r="M35" s="160"/>
    </row>
    <row r="36" spans="1:13" x14ac:dyDescent="0.3">
      <c r="A36" s="158" t="s">
        <v>364</v>
      </c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</row>
    <row r="37" spans="1:13" ht="36" x14ac:dyDescent="0.3">
      <c r="A37" s="172" t="s">
        <v>360</v>
      </c>
      <c r="B37" s="151" t="s">
        <v>315</v>
      </c>
      <c r="C37" s="184" t="s">
        <v>210</v>
      </c>
      <c r="D37" s="184"/>
      <c r="E37" s="184"/>
      <c r="F37" s="184"/>
      <c r="G37" s="184"/>
      <c r="H37" s="184"/>
      <c r="I37" s="151" t="s">
        <v>361</v>
      </c>
      <c r="J37" s="151" t="s">
        <v>362</v>
      </c>
      <c r="K37" s="151" t="s">
        <v>363</v>
      </c>
      <c r="L37" s="167"/>
      <c r="M37" s="160"/>
    </row>
    <row r="38" spans="1:13" x14ac:dyDescent="0.3">
      <c r="A38" s="174"/>
      <c r="B38" s="174"/>
      <c r="C38" s="175">
        <v>750</v>
      </c>
      <c r="D38" s="175">
        <v>600</v>
      </c>
      <c r="E38" s="175">
        <v>500</v>
      </c>
      <c r="F38" s="175">
        <v>375</v>
      </c>
      <c r="G38" s="175">
        <v>300</v>
      </c>
      <c r="H38" s="175">
        <v>180</v>
      </c>
      <c r="I38" s="174"/>
      <c r="J38" s="174"/>
      <c r="K38" s="174"/>
      <c r="L38" s="160"/>
      <c r="M38" s="160"/>
    </row>
    <row r="39" spans="1:13" x14ac:dyDescent="0.3">
      <c r="A39" s="158" t="s">
        <v>356</v>
      </c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</row>
    <row r="40" spans="1:13" x14ac:dyDescent="0.3">
      <c r="A40" s="158" t="s">
        <v>357</v>
      </c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</row>
    <row r="41" spans="1:13" x14ac:dyDescent="0.3">
      <c r="A41" s="158" t="s">
        <v>358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</row>
    <row r="42" spans="1:13" x14ac:dyDescent="0.3">
      <c r="A42" s="158" t="s">
        <v>340</v>
      </c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</row>
    <row r="43" spans="1:13" x14ac:dyDescent="0.3">
      <c r="A43" s="160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</row>
    <row r="44" spans="1:13" x14ac:dyDescent="0.3">
      <c r="A44" s="158" t="s">
        <v>365</v>
      </c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</row>
    <row r="45" spans="1:13" x14ac:dyDescent="0.3">
      <c r="A45" s="184" t="s">
        <v>200</v>
      </c>
      <c r="B45" s="184" t="s">
        <v>201</v>
      </c>
      <c r="C45" s="187" t="s">
        <v>210</v>
      </c>
      <c r="D45" s="187"/>
      <c r="E45" s="187"/>
      <c r="F45" s="187"/>
      <c r="G45" s="187"/>
      <c r="H45" s="187"/>
      <c r="I45" s="184" t="s">
        <v>366</v>
      </c>
      <c r="J45" s="184" t="s">
        <v>206</v>
      </c>
      <c r="K45" s="184" t="s">
        <v>207</v>
      </c>
      <c r="L45" s="160"/>
      <c r="M45" s="160"/>
    </row>
    <row r="46" spans="1:13" ht="27.6" customHeight="1" x14ac:dyDescent="0.3">
      <c r="A46" s="184"/>
      <c r="B46" s="184"/>
      <c r="C46" s="175">
        <v>750</v>
      </c>
      <c r="D46" s="175">
        <v>600</v>
      </c>
      <c r="E46" s="175">
        <v>500</v>
      </c>
      <c r="F46" s="175">
        <v>375</v>
      </c>
      <c r="G46" s="175">
        <v>300</v>
      </c>
      <c r="H46" s="175">
        <v>180</v>
      </c>
      <c r="I46" s="184"/>
      <c r="J46" s="184"/>
      <c r="K46" s="184"/>
      <c r="L46" s="160"/>
      <c r="M46" s="160"/>
    </row>
    <row r="47" spans="1:13" x14ac:dyDescent="0.3">
      <c r="A47" s="160"/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</row>
    <row r="48" spans="1:13" x14ac:dyDescent="0.3">
      <c r="A48" s="160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</row>
    <row r="49" spans="1:14" x14ac:dyDescent="0.3">
      <c r="A49" s="160"/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</row>
    <row r="50" spans="1:14" x14ac:dyDescent="0.3">
      <c r="A50" s="158" t="s">
        <v>368</v>
      </c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</row>
    <row r="51" spans="1:14" ht="36.6" x14ac:dyDescent="0.3">
      <c r="A51" s="168" t="s">
        <v>369</v>
      </c>
      <c r="B51" s="151" t="s">
        <v>315</v>
      </c>
      <c r="C51" s="151" t="s">
        <v>159</v>
      </c>
      <c r="D51" s="170" t="s">
        <v>162</v>
      </c>
      <c r="E51" s="170" t="s">
        <v>163</v>
      </c>
      <c r="F51" s="151" t="s">
        <v>164</v>
      </c>
      <c r="G51" s="170" t="s">
        <v>156</v>
      </c>
      <c r="H51" s="170" t="s">
        <v>161</v>
      </c>
      <c r="I51" s="160"/>
      <c r="J51" s="160"/>
      <c r="K51" s="160"/>
      <c r="L51" s="160"/>
      <c r="M51" s="160"/>
    </row>
    <row r="52" spans="1:14" x14ac:dyDescent="0.3">
      <c r="A52" s="176">
        <v>750</v>
      </c>
      <c r="B52" s="166"/>
      <c r="C52" s="166"/>
      <c r="D52" s="166"/>
      <c r="E52" s="166"/>
      <c r="F52" s="166"/>
      <c r="G52" s="160"/>
      <c r="H52" s="160"/>
      <c r="I52" s="160"/>
      <c r="J52" s="160"/>
      <c r="K52" s="160"/>
      <c r="L52" s="160"/>
      <c r="M52" s="160"/>
    </row>
    <row r="53" spans="1:14" x14ac:dyDescent="0.3">
      <c r="A53" s="176">
        <v>600</v>
      </c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</row>
    <row r="54" spans="1:14" x14ac:dyDescent="0.3">
      <c r="A54" s="176">
        <v>500</v>
      </c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</row>
    <row r="55" spans="1:14" x14ac:dyDescent="0.3">
      <c r="A55" s="176">
        <v>375</v>
      </c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</row>
    <row r="56" spans="1:14" x14ac:dyDescent="0.3">
      <c r="A56" s="176">
        <v>300</v>
      </c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</row>
    <row r="57" spans="1:14" x14ac:dyDescent="0.3">
      <c r="A57" s="176">
        <v>180</v>
      </c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</row>
    <row r="58" spans="1:14" x14ac:dyDescent="0.3">
      <c r="A58" s="160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</row>
    <row r="59" spans="1:14" x14ac:dyDescent="0.3">
      <c r="A59" s="158" t="s">
        <v>372</v>
      </c>
      <c r="B59" s="160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</row>
    <row r="60" spans="1:14" ht="54.6" customHeight="1" x14ac:dyDescent="0.3">
      <c r="A60" s="151" t="s">
        <v>370</v>
      </c>
      <c r="B60" s="151" t="s">
        <v>373</v>
      </c>
      <c r="C60" s="151" t="s">
        <v>374</v>
      </c>
      <c r="D60" s="151" t="s">
        <v>315</v>
      </c>
      <c r="E60" s="180" t="s">
        <v>218</v>
      </c>
      <c r="F60" s="180"/>
      <c r="G60" s="180"/>
      <c r="H60" s="180"/>
      <c r="I60" s="180"/>
      <c r="J60" s="180"/>
      <c r="K60" s="151" t="s">
        <v>375</v>
      </c>
      <c r="L60" s="151" t="s">
        <v>376</v>
      </c>
      <c r="M60" s="151" t="s">
        <v>371</v>
      </c>
      <c r="N60" s="115"/>
    </row>
    <row r="61" spans="1:14" x14ac:dyDescent="0.3">
      <c r="A61" s="174"/>
      <c r="B61" s="174"/>
      <c r="C61" s="174"/>
      <c r="D61" s="174"/>
      <c r="E61" s="175">
        <v>750</v>
      </c>
      <c r="F61" s="175">
        <v>600</v>
      </c>
      <c r="G61" s="175">
        <v>500</v>
      </c>
      <c r="H61" s="175">
        <v>375</v>
      </c>
      <c r="I61" s="175">
        <v>300</v>
      </c>
      <c r="J61" s="175">
        <v>180</v>
      </c>
      <c r="K61" s="174"/>
      <c r="L61" s="174"/>
      <c r="M61" s="174"/>
    </row>
    <row r="62" spans="1:14" x14ac:dyDescent="0.3">
      <c r="A62" s="153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</row>
    <row r="63" spans="1:14" x14ac:dyDescent="0.3">
      <c r="A63" s="153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</row>
    <row r="64" spans="1:14" x14ac:dyDescent="0.3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</row>
    <row r="65" spans="1:13" x14ac:dyDescent="0.3">
      <c r="A65" s="153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</row>
    <row r="66" spans="1:13" x14ac:dyDescent="0.3">
      <c r="A66" s="153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</row>
    <row r="67" spans="1:13" x14ac:dyDescent="0.3">
      <c r="A67" s="153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</row>
  </sheetData>
  <mergeCells count="15">
    <mergeCell ref="E34:G34"/>
    <mergeCell ref="E35:G35"/>
    <mergeCell ref="E60:J60"/>
    <mergeCell ref="C37:H37"/>
    <mergeCell ref="A1:M1"/>
    <mergeCell ref="A2:M2"/>
    <mergeCell ref="E4:I4"/>
    <mergeCell ref="E23:I23"/>
    <mergeCell ref="B3:C3"/>
    <mergeCell ref="A45:A46"/>
    <mergeCell ref="B45:B46"/>
    <mergeCell ref="I45:I46"/>
    <mergeCell ref="J45:J46"/>
    <mergeCell ref="K45:K46"/>
    <mergeCell ref="C45:H45"/>
  </mergeCells>
  <pageMargins left="0.43307086614173229" right="3.937007874015748E-2" top="0.35433070866141736" bottom="0.35433070866141736" header="0.31496062992125984" footer="0.31496062992125984"/>
  <pageSetup scale="7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workbookViewId="0">
      <selection activeCell="N10" sqref="N10"/>
    </sheetView>
  </sheetViews>
  <sheetFormatPr defaultRowHeight="14.4" x14ac:dyDescent="0.3"/>
  <cols>
    <col min="2" max="2" width="12.44140625" customWidth="1"/>
    <col min="3" max="3" width="8" bestFit="1" customWidth="1"/>
    <col min="4" max="4" width="12.5546875" customWidth="1"/>
    <col min="5" max="5" width="10" customWidth="1"/>
    <col min="8" max="8" width="12.33203125" customWidth="1"/>
    <col min="11" max="11" width="12.109375" customWidth="1"/>
    <col min="12" max="12" width="10.109375" customWidth="1"/>
    <col min="13" max="13" width="10" customWidth="1"/>
    <col min="15" max="15" width="23.6640625" customWidth="1"/>
    <col min="18" max="18" width="25.88671875" customWidth="1"/>
  </cols>
  <sheetData>
    <row r="1" spans="1:21" ht="18" x14ac:dyDescent="0.35">
      <c r="A1" s="209" t="s">
        <v>43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</row>
    <row r="2" spans="1:21" ht="18" x14ac:dyDescent="0.35">
      <c r="A2" s="209" t="s">
        <v>44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</row>
    <row r="3" spans="1:21" ht="18" x14ac:dyDescent="0.35">
      <c r="A3" s="210" t="s">
        <v>47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</row>
    <row r="4" spans="1:21" ht="15" thickBot="1" x14ac:dyDescent="0.35">
      <c r="A4" s="211"/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O4" s="212"/>
      <c r="P4" s="212"/>
      <c r="Q4" s="212"/>
      <c r="R4" s="212"/>
      <c r="S4" s="212"/>
      <c r="T4" s="212"/>
    </row>
    <row r="5" spans="1:21" ht="18" customHeight="1" thickBot="1" x14ac:dyDescent="0.35">
      <c r="A5" s="192" t="s">
        <v>45</v>
      </c>
      <c r="B5" s="192"/>
      <c r="C5" s="192"/>
      <c r="D5" s="192"/>
      <c r="E5" s="192"/>
      <c r="F5" s="192"/>
      <c r="G5" s="188" t="s">
        <v>81</v>
      </c>
      <c r="H5" s="188"/>
      <c r="I5" s="188"/>
      <c r="J5" s="188"/>
      <c r="K5" s="188"/>
      <c r="L5" s="188"/>
      <c r="M5" s="188"/>
      <c r="O5" s="6" t="s">
        <v>25</v>
      </c>
      <c r="P5" s="6" t="s">
        <v>26</v>
      </c>
      <c r="Q5" s="6" t="s">
        <v>27</v>
      </c>
      <c r="R5" s="6" t="s">
        <v>28</v>
      </c>
      <c r="S5" s="6" t="s">
        <v>26</v>
      </c>
      <c r="T5" s="6" t="s">
        <v>27</v>
      </c>
    </row>
    <row r="6" spans="1:21" ht="18" customHeight="1" x14ac:dyDescent="0.3">
      <c r="A6" s="192" t="s">
        <v>0</v>
      </c>
      <c r="B6" s="192"/>
      <c r="C6" s="192"/>
      <c r="D6" s="192"/>
      <c r="E6" s="192"/>
      <c r="F6" s="192"/>
      <c r="G6" s="188" t="s">
        <v>78</v>
      </c>
      <c r="H6" s="188"/>
      <c r="I6" s="188"/>
      <c r="J6" s="188"/>
      <c r="K6" s="188"/>
      <c r="L6" s="188"/>
      <c r="M6" s="188"/>
      <c r="O6" s="193"/>
      <c r="P6" s="196">
        <v>29912.31</v>
      </c>
      <c r="Q6" s="196">
        <v>28715.82</v>
      </c>
      <c r="R6" s="202"/>
      <c r="S6" s="196">
        <v>29916.44</v>
      </c>
      <c r="T6" s="199">
        <v>28725.77</v>
      </c>
    </row>
    <row r="7" spans="1:21" ht="18" customHeight="1" x14ac:dyDescent="0.3">
      <c r="A7" s="192" t="s">
        <v>46</v>
      </c>
      <c r="B7" s="192"/>
      <c r="C7" s="192"/>
      <c r="D7" s="192"/>
      <c r="E7" s="192"/>
      <c r="F7" s="192"/>
      <c r="G7" s="188" t="s">
        <v>79</v>
      </c>
      <c r="H7" s="188"/>
      <c r="I7" s="188"/>
      <c r="J7" s="188"/>
      <c r="K7" s="188"/>
      <c r="L7" s="188"/>
      <c r="M7" s="188"/>
      <c r="O7" s="194"/>
      <c r="P7" s="197"/>
      <c r="Q7" s="197"/>
      <c r="R7" s="188"/>
      <c r="S7" s="197"/>
      <c r="T7" s="200"/>
    </row>
    <row r="8" spans="1:21" ht="18" customHeight="1" thickBot="1" x14ac:dyDescent="0.35">
      <c r="A8" s="192" t="s">
        <v>1</v>
      </c>
      <c r="B8" s="192"/>
      <c r="C8" s="192"/>
      <c r="D8" s="192"/>
      <c r="E8" s="192"/>
      <c r="F8" s="192"/>
      <c r="G8" s="188" t="s">
        <v>80</v>
      </c>
      <c r="H8" s="188"/>
      <c r="I8" s="188"/>
      <c r="J8" s="188"/>
      <c r="K8" s="188"/>
      <c r="L8" s="188"/>
      <c r="M8" s="188"/>
      <c r="O8" s="195"/>
      <c r="P8" s="198"/>
      <c r="Q8" s="198"/>
      <c r="R8" s="203"/>
      <c r="S8" s="198"/>
      <c r="T8" s="201"/>
    </row>
    <row r="9" spans="1:21" ht="18" customHeight="1" x14ac:dyDescent="0.3">
      <c r="A9" s="192" t="s">
        <v>2</v>
      </c>
      <c r="B9" s="192"/>
      <c r="C9" s="192"/>
      <c r="D9" s="192"/>
      <c r="E9" s="192"/>
      <c r="F9" s="192"/>
      <c r="G9" s="188" t="s">
        <v>96</v>
      </c>
      <c r="H9" s="188"/>
      <c r="I9" s="188"/>
      <c r="J9" s="188"/>
      <c r="K9" s="188"/>
      <c r="L9" s="188"/>
      <c r="M9" s="188"/>
      <c r="O9" s="8"/>
      <c r="T9" s="9"/>
    </row>
    <row r="10" spans="1:21" ht="18" customHeight="1" x14ac:dyDescent="0.3">
      <c r="A10" s="192" t="s">
        <v>3</v>
      </c>
      <c r="B10" s="192"/>
      <c r="C10" s="192"/>
      <c r="D10" s="192"/>
      <c r="E10" s="192"/>
      <c r="F10" s="192"/>
      <c r="G10" s="188" t="s">
        <v>97</v>
      </c>
      <c r="H10" s="188"/>
      <c r="I10" s="188"/>
      <c r="J10" s="188"/>
      <c r="K10" s="188"/>
      <c r="L10" s="188"/>
      <c r="M10" s="188"/>
      <c r="O10" s="192" t="s">
        <v>29</v>
      </c>
      <c r="P10" s="192"/>
      <c r="Q10" s="192"/>
      <c r="R10" s="192"/>
      <c r="S10" s="188" t="s">
        <v>91</v>
      </c>
      <c r="T10" s="188"/>
    </row>
    <row r="11" spans="1:21" ht="18" customHeight="1" x14ac:dyDescent="0.3">
      <c r="A11" s="192" t="s">
        <v>4</v>
      </c>
      <c r="B11" s="192"/>
      <c r="C11" s="192"/>
      <c r="D11" s="192"/>
      <c r="E11" s="192"/>
      <c r="F11" s="192"/>
      <c r="G11" s="188" t="s">
        <v>97</v>
      </c>
      <c r="H11" s="188"/>
      <c r="I11" s="188"/>
      <c r="J11" s="188"/>
      <c r="K11" s="188"/>
      <c r="L11" s="188"/>
      <c r="M11" s="188"/>
      <c r="O11" s="192" t="s">
        <v>30</v>
      </c>
      <c r="P11" s="192"/>
      <c r="Q11" s="192"/>
      <c r="R11" s="192"/>
      <c r="S11" s="188">
        <v>9.9499999999999993</v>
      </c>
      <c r="T11" s="188"/>
      <c r="U11" s="13" t="s">
        <v>92</v>
      </c>
    </row>
    <row r="12" spans="1:21" ht="18" customHeight="1" x14ac:dyDescent="0.3">
      <c r="A12" s="192" t="s">
        <v>5</v>
      </c>
      <c r="B12" s="192"/>
      <c r="C12" s="192"/>
      <c r="D12" s="192"/>
      <c r="E12" s="192"/>
      <c r="F12" s="192"/>
      <c r="G12" s="188" t="s">
        <v>82</v>
      </c>
      <c r="H12" s="188"/>
      <c r="I12" s="188"/>
      <c r="J12" s="188"/>
      <c r="K12" s="188"/>
      <c r="L12" s="188"/>
      <c r="M12" s="188"/>
      <c r="O12" s="192" t="s">
        <v>31</v>
      </c>
      <c r="P12" s="192"/>
      <c r="Q12" s="192"/>
      <c r="R12" s="192"/>
      <c r="S12" s="188">
        <v>0</v>
      </c>
      <c r="T12" s="188"/>
    </row>
    <row r="13" spans="1:21" ht="18" customHeight="1" x14ac:dyDescent="0.3">
      <c r="A13" s="192" t="s">
        <v>6</v>
      </c>
      <c r="B13" s="192"/>
      <c r="C13" s="192"/>
      <c r="D13" s="192"/>
      <c r="E13" s="192"/>
      <c r="F13" s="192"/>
      <c r="G13" s="188" t="s">
        <v>83</v>
      </c>
      <c r="H13" s="188"/>
      <c r="I13" s="188"/>
      <c r="J13" s="188"/>
      <c r="K13" s="188"/>
      <c r="L13" s="188"/>
      <c r="M13" s="188"/>
      <c r="O13" s="192" t="s">
        <v>32</v>
      </c>
      <c r="P13" s="192"/>
      <c r="Q13" s="192"/>
      <c r="R13" s="192"/>
      <c r="S13" s="188">
        <v>0</v>
      </c>
      <c r="T13" s="188"/>
    </row>
    <row r="14" spans="1:21" ht="18" customHeight="1" x14ac:dyDescent="0.3">
      <c r="A14" s="192" t="s">
        <v>7</v>
      </c>
      <c r="B14" s="192"/>
      <c r="C14" s="192"/>
      <c r="D14" s="192"/>
      <c r="E14" s="192"/>
      <c r="F14" s="192"/>
      <c r="G14" s="188" t="s">
        <v>84</v>
      </c>
      <c r="H14" s="188"/>
      <c r="I14" s="188"/>
      <c r="J14" s="188"/>
      <c r="K14" s="188"/>
      <c r="L14" s="188"/>
      <c r="M14" s="188"/>
      <c r="O14" s="192" t="s">
        <v>33</v>
      </c>
      <c r="P14" s="192"/>
      <c r="Q14" s="192"/>
      <c r="R14" s="192"/>
      <c r="S14" s="188" t="s">
        <v>93</v>
      </c>
      <c r="T14" s="188"/>
    </row>
    <row r="15" spans="1:21" ht="18" customHeight="1" x14ac:dyDescent="0.3">
      <c r="A15" s="192" t="s">
        <v>8</v>
      </c>
      <c r="B15" s="192"/>
      <c r="C15" s="192"/>
      <c r="D15" s="192"/>
      <c r="E15" s="192"/>
      <c r="F15" s="192"/>
      <c r="G15" s="188" t="s">
        <v>98</v>
      </c>
      <c r="H15" s="188"/>
      <c r="I15" s="188"/>
      <c r="J15" s="188"/>
      <c r="K15" s="188"/>
      <c r="L15" s="188"/>
      <c r="M15" s="188"/>
      <c r="O15" s="192" t="s">
        <v>34</v>
      </c>
      <c r="P15" s="192"/>
      <c r="Q15" s="192"/>
      <c r="R15" s="192"/>
      <c r="S15" s="188" t="s">
        <v>94</v>
      </c>
      <c r="T15" s="188"/>
    </row>
    <row r="16" spans="1:21" ht="18" customHeight="1" x14ac:dyDescent="0.3">
      <c r="A16" s="192" t="s">
        <v>9</v>
      </c>
      <c r="B16" s="192"/>
      <c r="C16" s="192"/>
      <c r="D16" s="192"/>
      <c r="E16" s="192"/>
      <c r="F16" s="192"/>
      <c r="G16" s="188" t="s">
        <v>99</v>
      </c>
      <c r="H16" s="188"/>
      <c r="I16" s="188"/>
      <c r="J16" s="188"/>
      <c r="K16" s="188"/>
      <c r="L16" s="188"/>
      <c r="M16" s="188"/>
      <c r="O16" s="192" t="s">
        <v>35</v>
      </c>
      <c r="P16" s="192"/>
      <c r="Q16" s="192"/>
      <c r="R16" s="192"/>
      <c r="S16" s="188" t="s">
        <v>95</v>
      </c>
      <c r="T16" s="188"/>
    </row>
    <row r="17" spans="1:20" ht="18" customHeight="1" x14ac:dyDescent="0.3">
      <c r="A17" s="192" t="s">
        <v>10</v>
      </c>
      <c r="B17" s="192"/>
      <c r="C17" s="192"/>
      <c r="D17" s="192"/>
      <c r="E17" s="192"/>
      <c r="F17" s="192"/>
      <c r="G17" s="188">
        <v>0.79939899999999997</v>
      </c>
      <c r="H17" s="188"/>
      <c r="I17" s="188"/>
      <c r="J17" s="188"/>
      <c r="K17" s="188"/>
      <c r="L17" s="188"/>
      <c r="M17" s="188"/>
      <c r="O17" s="192" t="s">
        <v>36</v>
      </c>
      <c r="P17" s="192"/>
      <c r="Q17" s="192"/>
      <c r="R17" s="192"/>
      <c r="S17" s="204"/>
      <c r="T17" s="205"/>
    </row>
    <row r="18" spans="1:20" ht="18" customHeight="1" x14ac:dyDescent="0.3">
      <c r="A18" s="192" t="s">
        <v>11</v>
      </c>
      <c r="B18" s="192"/>
      <c r="C18" s="192"/>
      <c r="D18" s="192"/>
      <c r="E18" s="192"/>
      <c r="F18" s="192"/>
      <c r="G18" s="188" t="s">
        <v>85</v>
      </c>
      <c r="H18" s="188"/>
      <c r="I18" s="188"/>
      <c r="J18" s="188"/>
      <c r="K18" s="188"/>
      <c r="L18" s="188"/>
      <c r="M18" s="188"/>
      <c r="O18" s="192" t="s">
        <v>37</v>
      </c>
      <c r="P18" s="192"/>
      <c r="Q18" s="192"/>
      <c r="R18" s="192"/>
      <c r="S18" s="188">
        <v>35000</v>
      </c>
      <c r="T18" s="188"/>
    </row>
    <row r="19" spans="1:20" x14ac:dyDescent="0.3">
      <c r="O19" s="192" t="s">
        <v>39</v>
      </c>
      <c r="P19" s="192"/>
      <c r="Q19" s="192"/>
      <c r="R19" s="192"/>
      <c r="S19" s="188"/>
      <c r="T19" s="188"/>
    </row>
    <row r="20" spans="1:20" x14ac:dyDescent="0.3">
      <c r="O20" s="192" t="s">
        <v>38</v>
      </c>
      <c r="P20" s="192"/>
      <c r="Q20" s="192"/>
      <c r="R20" s="192"/>
      <c r="S20" s="188">
        <v>11000</v>
      </c>
      <c r="T20" s="188"/>
    </row>
    <row r="21" spans="1:20" ht="15.6" x14ac:dyDescent="0.3">
      <c r="A21" s="5" t="s">
        <v>24</v>
      </c>
      <c r="O21" s="192" t="s">
        <v>40</v>
      </c>
      <c r="P21" s="192"/>
      <c r="Q21" s="192"/>
      <c r="R21" s="192"/>
      <c r="S21" s="188" t="s">
        <v>96</v>
      </c>
      <c r="T21" s="188"/>
    </row>
    <row r="22" spans="1:20" ht="16.2" thickBot="1" x14ac:dyDescent="0.35">
      <c r="A22" s="5"/>
      <c r="O22" s="197"/>
      <c r="P22" s="197"/>
      <c r="Q22" s="197"/>
      <c r="R22" s="197"/>
      <c r="S22" s="197"/>
      <c r="T22" s="197"/>
    </row>
    <row r="23" spans="1:20" ht="15" thickBot="1" x14ac:dyDescent="0.35">
      <c r="A23" s="189" t="s">
        <v>12</v>
      </c>
      <c r="B23" s="190"/>
      <c r="C23" s="190"/>
      <c r="D23" s="190"/>
      <c r="E23" s="190"/>
      <c r="F23" s="191"/>
      <c r="G23" s="189" t="s">
        <v>18</v>
      </c>
      <c r="H23" s="190"/>
      <c r="I23" s="190"/>
      <c r="J23" s="190"/>
      <c r="K23" s="190"/>
      <c r="L23" s="190"/>
      <c r="M23" s="191"/>
      <c r="O23" s="192" t="s">
        <v>41</v>
      </c>
      <c r="P23" s="192"/>
      <c r="Q23" s="192"/>
      <c r="R23" s="192"/>
      <c r="S23" s="188"/>
      <c r="T23" s="188"/>
    </row>
    <row r="24" spans="1:20" ht="74.25" customHeight="1" x14ac:dyDescent="0.3">
      <c r="A24" s="1" t="s">
        <v>13</v>
      </c>
      <c r="B24" s="2" t="s">
        <v>86</v>
      </c>
      <c r="C24" s="2" t="s">
        <v>14</v>
      </c>
      <c r="D24" s="2" t="s">
        <v>15</v>
      </c>
      <c r="E24" s="2" t="s">
        <v>16</v>
      </c>
      <c r="F24" s="3" t="s">
        <v>17</v>
      </c>
      <c r="G24" s="1" t="s">
        <v>19</v>
      </c>
      <c r="H24" s="2" t="s">
        <v>86</v>
      </c>
      <c r="I24" s="2" t="s">
        <v>14</v>
      </c>
      <c r="J24" s="2" t="s">
        <v>20</v>
      </c>
      <c r="K24" s="2" t="s">
        <v>21</v>
      </c>
      <c r="L24" s="2" t="s">
        <v>22</v>
      </c>
      <c r="M24" s="3" t="s">
        <v>23</v>
      </c>
      <c r="O24" s="206"/>
      <c r="P24" s="207"/>
      <c r="Q24" s="207"/>
      <c r="R24" s="208"/>
      <c r="S24" s="188"/>
      <c r="T24" s="188"/>
    </row>
    <row r="25" spans="1:20" ht="16.2" x14ac:dyDescent="0.3">
      <c r="A25" s="23">
        <v>23981</v>
      </c>
      <c r="B25" s="24">
        <v>30000</v>
      </c>
      <c r="C25" s="18"/>
      <c r="D25" s="18" t="s">
        <v>87</v>
      </c>
      <c r="E25" s="18"/>
      <c r="F25" s="18" t="s">
        <v>88</v>
      </c>
      <c r="G25" s="18">
        <v>23960.799999999999</v>
      </c>
      <c r="H25" s="18">
        <v>29916.44</v>
      </c>
      <c r="I25" s="18"/>
      <c r="J25" s="18" t="s">
        <v>89</v>
      </c>
      <c r="K25" s="18">
        <v>0.80162999999999995</v>
      </c>
      <c r="L25" s="18"/>
      <c r="M25" s="18" t="s">
        <v>90</v>
      </c>
      <c r="O25" s="192" t="s">
        <v>42</v>
      </c>
      <c r="P25" s="192"/>
      <c r="Q25" s="192"/>
      <c r="R25" s="192"/>
      <c r="S25" s="188"/>
      <c r="T25" s="188"/>
    </row>
    <row r="26" spans="1:20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20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20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20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20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20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20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6" spans="1:13" ht="18" x14ac:dyDescent="0.35">
      <c r="A36" s="14" t="s">
        <v>59</v>
      </c>
    </row>
  </sheetData>
  <mergeCells count="72">
    <mergeCell ref="A1:T1"/>
    <mergeCell ref="A2:T2"/>
    <mergeCell ref="A3:T3"/>
    <mergeCell ref="A4:M4"/>
    <mergeCell ref="O4:T4"/>
    <mergeCell ref="S23:T23"/>
    <mergeCell ref="S24:T24"/>
    <mergeCell ref="S25:T25"/>
    <mergeCell ref="O22:T22"/>
    <mergeCell ref="O24:R24"/>
    <mergeCell ref="O23:R23"/>
    <mergeCell ref="O25:R25"/>
    <mergeCell ref="S14:T14"/>
    <mergeCell ref="S15:T15"/>
    <mergeCell ref="S16:T16"/>
    <mergeCell ref="S17:T17"/>
    <mergeCell ref="S18:T18"/>
    <mergeCell ref="S19:T19"/>
    <mergeCell ref="O18:R18"/>
    <mergeCell ref="O19:R19"/>
    <mergeCell ref="O20:R20"/>
    <mergeCell ref="O21:R21"/>
    <mergeCell ref="S20:T20"/>
    <mergeCell ref="S21:T21"/>
    <mergeCell ref="S6:S8"/>
    <mergeCell ref="T6:T8"/>
    <mergeCell ref="O10:R10"/>
    <mergeCell ref="O11:R11"/>
    <mergeCell ref="O12:R12"/>
    <mergeCell ref="R6:R8"/>
    <mergeCell ref="O13:R13"/>
    <mergeCell ref="S10:T10"/>
    <mergeCell ref="S11:T11"/>
    <mergeCell ref="S12:T12"/>
    <mergeCell ref="S13:T13"/>
    <mergeCell ref="A17:F17"/>
    <mergeCell ref="A18:F18"/>
    <mergeCell ref="O6:O8"/>
    <mergeCell ref="P6:P8"/>
    <mergeCell ref="Q6:Q8"/>
    <mergeCell ref="O14:R14"/>
    <mergeCell ref="O15:R15"/>
    <mergeCell ref="O16:R16"/>
    <mergeCell ref="O17:R17"/>
    <mergeCell ref="A11:F11"/>
    <mergeCell ref="A12:F12"/>
    <mergeCell ref="A13:F13"/>
    <mergeCell ref="A14:F14"/>
    <mergeCell ref="A15:F15"/>
    <mergeCell ref="A16:F16"/>
    <mergeCell ref="A10:F10"/>
    <mergeCell ref="A5:F5"/>
    <mergeCell ref="A6:F6"/>
    <mergeCell ref="A7:F7"/>
    <mergeCell ref="A8:F8"/>
    <mergeCell ref="A9:F9"/>
    <mergeCell ref="G18:M18"/>
    <mergeCell ref="A23:F23"/>
    <mergeCell ref="G23:M23"/>
    <mergeCell ref="G5:M5"/>
    <mergeCell ref="G6:M6"/>
    <mergeCell ref="G7:M7"/>
    <mergeCell ref="G8:M8"/>
    <mergeCell ref="G9:M9"/>
    <mergeCell ref="G10:M10"/>
    <mergeCell ref="G11:M11"/>
    <mergeCell ref="G12:M12"/>
    <mergeCell ref="G13:M13"/>
    <mergeCell ref="G14:M14"/>
    <mergeCell ref="G15:M15"/>
    <mergeCell ref="G16:M16"/>
    <mergeCell ref="G17:M1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"/>
  <sheetViews>
    <sheetView topLeftCell="X1" workbookViewId="0">
      <selection sqref="A1:AO2"/>
    </sheetView>
  </sheetViews>
  <sheetFormatPr defaultRowHeight="14.4" x14ac:dyDescent="0.3"/>
  <cols>
    <col min="1" max="1" width="10.44140625" customWidth="1"/>
    <col min="3" max="3" width="13.6640625" customWidth="1"/>
    <col min="4" max="4" width="12" bestFit="1" customWidth="1"/>
    <col min="5" max="5" width="14.88671875" bestFit="1" customWidth="1"/>
    <col min="6" max="6" width="17.6640625" bestFit="1" customWidth="1"/>
    <col min="7" max="7" width="12.5546875" customWidth="1"/>
    <col min="8" max="8" width="11.109375" customWidth="1"/>
    <col min="9" max="9" width="12.6640625" customWidth="1"/>
    <col min="10" max="10" width="16.44140625" customWidth="1"/>
    <col min="15" max="15" width="12.88671875" customWidth="1"/>
    <col min="18" max="18" width="10.88671875" customWidth="1"/>
    <col min="19" max="19" width="14.33203125" customWidth="1"/>
    <col min="20" max="20" width="15.33203125" customWidth="1"/>
    <col min="24" max="24" width="13.6640625" customWidth="1"/>
    <col min="26" max="26" width="13" customWidth="1"/>
    <col min="29" max="29" width="12.5546875" customWidth="1"/>
    <col min="31" max="31" width="10.33203125" customWidth="1"/>
    <col min="33" max="33" width="8.109375" bestFit="1" customWidth="1"/>
    <col min="34" max="34" width="14.44140625" customWidth="1"/>
    <col min="35" max="35" width="12.33203125" customWidth="1"/>
    <col min="36" max="36" width="13.44140625" customWidth="1"/>
    <col min="39" max="39" width="13.6640625" customWidth="1"/>
    <col min="40" max="40" width="9.5546875" customWidth="1"/>
  </cols>
  <sheetData>
    <row r="1" spans="1:46" s="124" customFormat="1" ht="31.2" x14ac:dyDescent="0.3">
      <c r="A1" s="121" t="s">
        <v>223</v>
      </c>
      <c r="B1" s="214" t="s">
        <v>224</v>
      </c>
      <c r="C1" s="214"/>
      <c r="D1" s="214"/>
      <c r="E1" s="214"/>
      <c r="F1" s="214"/>
      <c r="G1" s="214"/>
      <c r="H1" s="122"/>
      <c r="I1" s="213" t="s">
        <v>225</v>
      </c>
      <c r="J1" s="213"/>
      <c r="K1" s="213"/>
      <c r="L1" s="213"/>
      <c r="M1" s="213"/>
      <c r="N1" s="213"/>
      <c r="O1" s="213"/>
      <c r="P1" s="213"/>
      <c r="Q1" s="215" t="s">
        <v>226</v>
      </c>
      <c r="R1" s="216"/>
      <c r="S1" s="215" t="s">
        <v>227</v>
      </c>
      <c r="T1" s="217"/>
      <c r="U1" s="217"/>
      <c r="V1" s="216"/>
      <c r="W1" s="218" t="s">
        <v>228</v>
      </c>
      <c r="X1" s="219"/>
      <c r="Y1" s="219"/>
      <c r="Z1" s="219"/>
      <c r="AA1" s="219"/>
      <c r="AB1" s="219"/>
      <c r="AC1" s="220"/>
      <c r="AD1" s="221" t="s">
        <v>229</v>
      </c>
      <c r="AE1" s="222"/>
      <c r="AF1" s="222"/>
      <c r="AG1" s="222"/>
      <c r="AH1" s="213" t="s">
        <v>230</v>
      </c>
      <c r="AI1" s="213"/>
      <c r="AJ1" s="213"/>
      <c r="AK1" s="213"/>
      <c r="AL1" s="213"/>
      <c r="AM1" s="123"/>
      <c r="AN1" s="138"/>
      <c r="AO1" s="148"/>
      <c r="AP1" s="140"/>
      <c r="AQ1" s="140"/>
      <c r="AR1" s="140"/>
      <c r="AS1" s="140"/>
      <c r="AT1" s="140"/>
    </row>
    <row r="2" spans="1:46" s="132" customFormat="1" ht="57.6" x14ac:dyDescent="0.3">
      <c r="A2" s="125" t="s">
        <v>223</v>
      </c>
      <c r="B2" s="126" t="s">
        <v>231</v>
      </c>
      <c r="C2" s="127" t="s">
        <v>232</v>
      </c>
      <c r="D2" s="128" t="s">
        <v>233</v>
      </c>
      <c r="E2" s="126" t="s">
        <v>234</v>
      </c>
      <c r="F2" s="126" t="s">
        <v>235</v>
      </c>
      <c r="G2" s="127" t="s">
        <v>236</v>
      </c>
      <c r="H2" s="125" t="s">
        <v>237</v>
      </c>
      <c r="I2" s="127" t="s">
        <v>238</v>
      </c>
      <c r="J2" s="127" t="s">
        <v>239</v>
      </c>
      <c r="K2" s="127" t="s">
        <v>240</v>
      </c>
      <c r="L2" s="127" t="s">
        <v>241</v>
      </c>
      <c r="M2" s="127" t="s">
        <v>242</v>
      </c>
      <c r="N2" s="127" t="s">
        <v>243</v>
      </c>
      <c r="O2" s="127" t="s">
        <v>244</v>
      </c>
      <c r="P2" s="127" t="s">
        <v>245</v>
      </c>
      <c r="Q2" s="129" t="s">
        <v>66</v>
      </c>
      <c r="R2" s="129" t="s">
        <v>246</v>
      </c>
      <c r="S2" s="129" t="s">
        <v>247</v>
      </c>
      <c r="T2" s="129" t="s">
        <v>248</v>
      </c>
      <c r="U2" s="129" t="s">
        <v>249</v>
      </c>
      <c r="V2" s="129" t="s">
        <v>245</v>
      </c>
      <c r="W2" s="127" t="s">
        <v>250</v>
      </c>
      <c r="X2" s="127" t="s">
        <v>251</v>
      </c>
      <c r="Y2" s="127" t="s">
        <v>252</v>
      </c>
      <c r="Z2" s="127" t="s">
        <v>253</v>
      </c>
      <c r="AA2" s="127" t="s">
        <v>254</v>
      </c>
      <c r="AB2" s="127" t="s">
        <v>255</v>
      </c>
      <c r="AC2" s="127" t="s">
        <v>256</v>
      </c>
      <c r="AD2" s="130" t="s">
        <v>257</v>
      </c>
      <c r="AE2" s="131" t="s">
        <v>258</v>
      </c>
      <c r="AF2" s="131" t="s">
        <v>259</v>
      </c>
      <c r="AG2" s="131" t="s">
        <v>260</v>
      </c>
      <c r="AH2" s="127" t="s">
        <v>261</v>
      </c>
      <c r="AI2" s="127" t="s">
        <v>262</v>
      </c>
      <c r="AJ2" s="127" t="s">
        <v>263</v>
      </c>
      <c r="AK2" s="127" t="s">
        <v>264</v>
      </c>
      <c r="AL2" s="127" t="s">
        <v>265</v>
      </c>
      <c r="AM2" s="125" t="s">
        <v>266</v>
      </c>
      <c r="AN2" s="125" t="s">
        <v>267</v>
      </c>
      <c r="AO2" s="130" t="s">
        <v>268</v>
      </c>
      <c r="AP2" s="141"/>
      <c r="AQ2" s="142"/>
      <c r="AR2" s="142"/>
      <c r="AS2" s="142"/>
      <c r="AT2" s="143"/>
    </row>
    <row r="3" spans="1:46" s="134" customFormat="1" x14ac:dyDescent="0.3">
      <c r="A3" s="133">
        <v>1</v>
      </c>
      <c r="B3" s="133">
        <v>2</v>
      </c>
      <c r="C3" s="133">
        <v>3</v>
      </c>
      <c r="D3" s="133">
        <v>4</v>
      </c>
      <c r="E3" s="133">
        <v>5</v>
      </c>
      <c r="F3" s="133">
        <v>6</v>
      </c>
      <c r="G3" s="133">
        <v>7</v>
      </c>
      <c r="H3" s="133">
        <v>8</v>
      </c>
      <c r="I3" s="133">
        <v>9</v>
      </c>
      <c r="J3" s="133">
        <v>10</v>
      </c>
      <c r="K3" s="133">
        <v>11</v>
      </c>
      <c r="L3" s="133">
        <v>12</v>
      </c>
      <c r="M3" s="133">
        <v>13</v>
      </c>
      <c r="N3" s="133">
        <v>14</v>
      </c>
      <c r="O3" s="133">
        <v>15</v>
      </c>
      <c r="P3" s="133">
        <v>16</v>
      </c>
      <c r="Q3" s="133">
        <v>17</v>
      </c>
      <c r="R3" s="133">
        <v>18</v>
      </c>
      <c r="S3" s="133">
        <v>19</v>
      </c>
      <c r="T3" s="133">
        <v>20</v>
      </c>
      <c r="U3" s="133">
        <v>21</v>
      </c>
      <c r="V3" s="133">
        <v>22</v>
      </c>
      <c r="W3" s="133">
        <v>23</v>
      </c>
      <c r="X3" s="133">
        <v>24</v>
      </c>
      <c r="Y3" s="133">
        <v>25</v>
      </c>
      <c r="Z3" s="133">
        <v>26</v>
      </c>
      <c r="AA3" s="133">
        <v>27</v>
      </c>
      <c r="AB3" s="133">
        <v>28</v>
      </c>
      <c r="AC3" s="133">
        <v>29</v>
      </c>
      <c r="AD3" s="133">
        <v>30</v>
      </c>
      <c r="AE3" s="133">
        <v>31</v>
      </c>
      <c r="AF3" s="133">
        <v>32</v>
      </c>
      <c r="AG3" s="133">
        <v>33</v>
      </c>
      <c r="AH3" s="133">
        <v>34</v>
      </c>
      <c r="AI3" s="133">
        <v>35</v>
      </c>
      <c r="AJ3" s="133">
        <v>36</v>
      </c>
      <c r="AK3" s="133">
        <v>37</v>
      </c>
      <c r="AL3" s="133">
        <v>38</v>
      </c>
      <c r="AM3" s="133">
        <v>39</v>
      </c>
      <c r="AN3" s="133">
        <v>40</v>
      </c>
      <c r="AO3" s="146">
        <v>41</v>
      </c>
      <c r="AP3" s="144"/>
      <c r="AQ3" s="144"/>
      <c r="AR3" s="144"/>
      <c r="AS3" s="144"/>
      <c r="AT3" s="144"/>
    </row>
    <row r="4" spans="1:46" x14ac:dyDescent="0.3">
      <c r="A4" s="135"/>
      <c r="AB4" s="136"/>
      <c r="AO4" s="147"/>
      <c r="AP4" s="145"/>
      <c r="AQ4" s="145"/>
      <c r="AR4" s="145"/>
      <c r="AS4" s="145"/>
      <c r="AT4" s="145"/>
    </row>
    <row r="5" spans="1:46" s="137" customFormat="1" x14ac:dyDescent="0.3">
      <c r="AN5" s="139"/>
      <c r="AO5" s="147"/>
      <c r="AP5" s="145"/>
      <c r="AQ5" s="145"/>
      <c r="AR5" s="145"/>
      <c r="AS5" s="145"/>
      <c r="AT5" s="145"/>
    </row>
    <row r="6" spans="1:46" s="137" customFormat="1" x14ac:dyDescent="0.3">
      <c r="AN6" s="139"/>
      <c r="AO6" s="147"/>
      <c r="AP6" s="145"/>
      <c r="AQ6" s="145"/>
      <c r="AR6" s="145"/>
      <c r="AS6" s="145"/>
      <c r="AT6" s="145"/>
    </row>
    <row r="7" spans="1:46" s="137" customFormat="1" x14ac:dyDescent="0.3">
      <c r="AN7" s="139"/>
      <c r="AO7" s="147"/>
      <c r="AP7" s="145"/>
      <c r="AQ7" s="145"/>
      <c r="AR7" s="145"/>
      <c r="AS7" s="145"/>
      <c r="AT7" s="145"/>
    </row>
    <row r="8" spans="1:46" s="137" customFormat="1" x14ac:dyDescent="0.3">
      <c r="AN8" s="139"/>
      <c r="AO8" s="147"/>
      <c r="AP8" s="145"/>
      <c r="AQ8" s="145"/>
      <c r="AR8" s="145"/>
      <c r="AS8" s="145"/>
      <c r="AT8" s="145"/>
    </row>
    <row r="11" spans="1:46" x14ac:dyDescent="0.3">
      <c r="A11" s="13"/>
    </row>
    <row r="12" spans="1:46" x14ac:dyDescent="0.3">
      <c r="A12" s="13"/>
    </row>
  </sheetData>
  <mergeCells count="7">
    <mergeCell ref="AH1:AL1"/>
    <mergeCell ref="B1:G1"/>
    <mergeCell ref="I1:P1"/>
    <mergeCell ref="Q1:R1"/>
    <mergeCell ref="S1:V1"/>
    <mergeCell ref="W1:AC1"/>
    <mergeCell ref="AD1:A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S27"/>
  <sheetViews>
    <sheetView workbookViewId="0">
      <selection activeCell="I10" sqref="I10"/>
    </sheetView>
  </sheetViews>
  <sheetFormatPr defaultRowHeight="14.4" x14ac:dyDescent="0.3"/>
  <cols>
    <col min="1" max="1" width="10.88671875" customWidth="1"/>
    <col min="2" max="2" width="15.44140625" customWidth="1"/>
    <col min="3" max="3" width="25.109375" customWidth="1"/>
    <col min="4" max="4" width="15.5546875" customWidth="1"/>
    <col min="5" max="5" width="11.33203125" customWidth="1"/>
    <col min="6" max="6" width="10.88671875" customWidth="1"/>
    <col min="8" max="8" width="12.88671875" customWidth="1"/>
    <col min="11" max="11" width="12.88671875" customWidth="1"/>
    <col min="12" max="12" width="10.5546875" customWidth="1"/>
    <col min="13" max="13" width="14.5546875" customWidth="1"/>
    <col min="14" max="14" width="10.88671875" customWidth="1"/>
    <col min="15" max="15" width="10.44140625" customWidth="1"/>
  </cols>
  <sheetData>
    <row r="4" spans="1:19" ht="18" x14ac:dyDescent="0.35">
      <c r="A4" s="209" t="s">
        <v>43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15"/>
      <c r="Q4" s="15"/>
      <c r="R4" s="15"/>
      <c r="S4" s="15"/>
    </row>
    <row r="5" spans="1:19" ht="18" x14ac:dyDescent="0.35">
      <c r="A5" s="209" t="s">
        <v>44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15"/>
      <c r="Q5" s="15"/>
      <c r="R5" s="15"/>
      <c r="S5" s="15"/>
    </row>
    <row r="7" spans="1:19" ht="19.5" customHeight="1" x14ac:dyDescent="0.35">
      <c r="A7" s="224" t="s">
        <v>61</v>
      </c>
      <c r="B7" s="224"/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19"/>
      <c r="Q7" s="19"/>
      <c r="R7" s="19"/>
      <c r="S7" s="19"/>
    </row>
    <row r="8" spans="1:19" ht="19.5" customHeight="1" x14ac:dyDescent="0.3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25" t="s">
        <v>111</v>
      </c>
      <c r="N8" s="225"/>
      <c r="O8" s="225"/>
      <c r="P8" s="19"/>
      <c r="Q8" s="19"/>
      <c r="R8" s="19"/>
      <c r="S8" s="19"/>
    </row>
    <row r="9" spans="1:19" x14ac:dyDescent="0.3">
      <c r="A9" s="197" t="s">
        <v>62</v>
      </c>
      <c r="B9" s="223" t="s">
        <v>77</v>
      </c>
      <c r="C9" s="223"/>
      <c r="D9" s="223"/>
      <c r="E9" s="223"/>
      <c r="F9" s="223"/>
      <c r="G9" s="223"/>
      <c r="H9" s="4"/>
      <c r="I9" s="28" t="s">
        <v>109</v>
      </c>
      <c r="J9" s="223" t="s">
        <v>76</v>
      </c>
      <c r="K9" s="223"/>
      <c r="L9" s="223"/>
      <c r="M9" s="223"/>
      <c r="N9" s="4"/>
      <c r="O9" s="4"/>
    </row>
    <row r="10" spans="1:19" ht="75" customHeight="1" x14ac:dyDescent="0.3">
      <c r="A10" s="197"/>
      <c r="B10" s="17" t="s">
        <v>63</v>
      </c>
      <c r="C10" s="12" t="s">
        <v>64</v>
      </c>
      <c r="D10" s="12" t="s">
        <v>65</v>
      </c>
      <c r="E10" s="12" t="s">
        <v>66</v>
      </c>
      <c r="F10" s="12" t="s">
        <v>67</v>
      </c>
      <c r="G10" s="12" t="s">
        <v>68</v>
      </c>
      <c r="H10" s="12" t="s">
        <v>69</v>
      </c>
      <c r="I10" s="12" t="s">
        <v>70</v>
      </c>
      <c r="J10" s="12" t="s">
        <v>71</v>
      </c>
      <c r="K10" s="12" t="s">
        <v>72</v>
      </c>
      <c r="L10" s="12" t="s">
        <v>73</v>
      </c>
      <c r="M10" s="12" t="s">
        <v>74</v>
      </c>
      <c r="N10" s="12" t="s">
        <v>75</v>
      </c>
      <c r="O10" s="12" t="s">
        <v>110</v>
      </c>
    </row>
    <row r="11" spans="1:19" x14ac:dyDescent="0.3">
      <c r="A11" s="21">
        <v>1</v>
      </c>
      <c r="B11" s="21">
        <v>2</v>
      </c>
      <c r="C11" s="21">
        <v>3</v>
      </c>
      <c r="D11" s="21">
        <v>4</v>
      </c>
      <c r="E11" s="21">
        <v>5</v>
      </c>
      <c r="F11" s="21">
        <v>6</v>
      </c>
      <c r="G11" s="21">
        <v>7</v>
      </c>
      <c r="H11" s="21">
        <v>8</v>
      </c>
      <c r="I11" s="21">
        <v>9</v>
      </c>
      <c r="J11" s="21">
        <v>10</v>
      </c>
      <c r="K11" s="21">
        <v>11</v>
      </c>
      <c r="L11" s="21">
        <v>12</v>
      </c>
      <c r="M11" s="21">
        <v>13</v>
      </c>
      <c r="N11" s="21">
        <v>14</v>
      </c>
      <c r="O11" s="21">
        <v>15</v>
      </c>
    </row>
    <row r="12" spans="1:19" ht="19.5" customHeight="1" x14ac:dyDescent="0.3">
      <c r="A12" s="4" t="s">
        <v>102</v>
      </c>
      <c r="B12" s="22">
        <v>0</v>
      </c>
      <c r="C12" s="22" t="s">
        <v>105</v>
      </c>
      <c r="D12" s="22">
        <v>28725.77</v>
      </c>
      <c r="E12" s="22">
        <v>15</v>
      </c>
      <c r="F12" s="22">
        <v>0</v>
      </c>
      <c r="G12" s="22">
        <v>0</v>
      </c>
      <c r="H12" s="22">
        <f>B12+D12+E12+F12+G12</f>
        <v>28740.77</v>
      </c>
      <c r="I12" s="24">
        <v>1368</v>
      </c>
      <c r="J12" s="22">
        <v>0.27360000000000001</v>
      </c>
      <c r="K12" s="22">
        <v>28</v>
      </c>
      <c r="L12" s="22">
        <v>2.2000000000000002</v>
      </c>
      <c r="M12" s="22">
        <v>0</v>
      </c>
      <c r="N12" s="24">
        <f>I12+J12+K12+L12+M12</f>
        <v>1398.4736</v>
      </c>
      <c r="O12" s="24">
        <f>H12-N12</f>
        <v>27342.296399999999</v>
      </c>
    </row>
    <row r="13" spans="1:19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9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9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9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5" spans="1:15" x14ac:dyDescent="0.3">
      <c r="A25" t="s">
        <v>106</v>
      </c>
    </row>
    <row r="27" spans="1:15" x14ac:dyDescent="0.3">
      <c r="A27" t="s">
        <v>107</v>
      </c>
    </row>
  </sheetData>
  <mergeCells count="7">
    <mergeCell ref="B9:G9"/>
    <mergeCell ref="J9:M9"/>
    <mergeCell ref="A9:A10"/>
    <mergeCell ref="A7:O7"/>
    <mergeCell ref="A4:O4"/>
    <mergeCell ref="A5:O5"/>
    <mergeCell ref="M8:O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"/>
  <sheetViews>
    <sheetView workbookViewId="0">
      <selection activeCell="A4" sqref="A4:L5"/>
    </sheetView>
  </sheetViews>
  <sheetFormatPr defaultRowHeight="14.4" x14ac:dyDescent="0.3"/>
  <cols>
    <col min="1" max="1" width="12.33203125" customWidth="1"/>
    <col min="2" max="2" width="12.44140625" customWidth="1"/>
    <col min="3" max="3" width="11.5546875" customWidth="1"/>
    <col min="4" max="4" width="10.109375" customWidth="1"/>
    <col min="6" max="6" width="7.88671875" customWidth="1"/>
    <col min="8" max="8" width="9.5546875" bestFit="1" customWidth="1"/>
    <col min="11" max="11" width="10.5546875" bestFit="1" customWidth="1"/>
    <col min="13" max="13" width="12" customWidth="1"/>
    <col min="14" max="14" width="13.6640625" customWidth="1"/>
    <col min="15" max="15" width="10.5546875" customWidth="1"/>
    <col min="16" max="16" width="9.6640625" customWidth="1"/>
    <col min="17" max="17" width="14.109375" customWidth="1"/>
    <col min="18" max="18" width="11.5546875" customWidth="1"/>
    <col min="20" max="20" width="15.5546875" customWidth="1"/>
    <col min="21" max="21" width="15.6640625" customWidth="1"/>
    <col min="22" max="27" width="7.6640625" customWidth="1"/>
    <col min="28" max="28" width="14.109375" customWidth="1"/>
    <col min="29" max="29" width="13.109375" customWidth="1"/>
    <col min="30" max="30" width="14.88671875" customWidth="1"/>
    <col min="31" max="31" width="15.44140625" customWidth="1"/>
    <col min="32" max="32" width="16.109375" customWidth="1"/>
    <col min="33" max="33" width="12.88671875" customWidth="1"/>
    <col min="34" max="34" width="12.44140625" customWidth="1"/>
    <col min="35" max="35" width="10.44140625" customWidth="1"/>
  </cols>
  <sheetData>
    <row r="1" spans="1:35" ht="18" x14ac:dyDescent="0.35">
      <c r="A1" s="209" t="s">
        <v>43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</row>
    <row r="2" spans="1:35" ht="18" x14ac:dyDescent="0.35">
      <c r="A2" s="209" t="s">
        <v>44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</row>
    <row r="3" spans="1:35" ht="18.600000000000001" thickBot="1" x14ac:dyDescent="0.4">
      <c r="A3" s="14" t="s">
        <v>143</v>
      </c>
    </row>
    <row r="4" spans="1:35" ht="45" customHeight="1" thickBot="1" x14ac:dyDescent="0.35">
      <c r="A4" s="234" t="s">
        <v>116</v>
      </c>
      <c r="B4" s="235"/>
      <c r="C4" s="235"/>
      <c r="D4" s="236"/>
      <c r="E4" s="234" t="s">
        <v>117</v>
      </c>
      <c r="F4" s="235"/>
      <c r="G4" s="235"/>
      <c r="H4" s="236"/>
      <c r="I4" s="234" t="s">
        <v>122</v>
      </c>
      <c r="J4" s="235"/>
      <c r="K4" s="235"/>
      <c r="L4" s="236"/>
      <c r="M4" s="238" t="s">
        <v>124</v>
      </c>
      <c r="N4" s="238" t="s">
        <v>125</v>
      </c>
      <c r="O4" s="237" t="s">
        <v>126</v>
      </c>
      <c r="P4" s="237"/>
      <c r="Q4" s="228" t="s">
        <v>135</v>
      </c>
      <c r="R4" s="229"/>
      <c r="S4" s="229"/>
      <c r="T4" s="229"/>
      <c r="U4" s="230"/>
      <c r="V4" s="228" t="s">
        <v>131</v>
      </c>
      <c r="W4" s="229"/>
      <c r="X4" s="229"/>
      <c r="Y4" s="229"/>
      <c r="Z4" s="229"/>
      <c r="AA4" s="230"/>
      <c r="AB4" s="231" t="s">
        <v>132</v>
      </c>
      <c r="AC4" s="232"/>
      <c r="AD4" s="233"/>
      <c r="AE4" s="228" t="s">
        <v>142</v>
      </c>
      <c r="AF4" s="230"/>
      <c r="AG4" s="228" t="s">
        <v>139</v>
      </c>
      <c r="AH4" s="230"/>
      <c r="AI4" s="226" t="s">
        <v>58</v>
      </c>
    </row>
    <row r="5" spans="1:35" ht="33" customHeight="1" thickBot="1" x14ac:dyDescent="0.35">
      <c r="A5" s="30" t="s">
        <v>112</v>
      </c>
      <c r="B5" s="31" t="s">
        <v>113</v>
      </c>
      <c r="C5" s="31" t="s">
        <v>114</v>
      </c>
      <c r="D5" s="32" t="s">
        <v>115</v>
      </c>
      <c r="E5" s="40" t="s">
        <v>118</v>
      </c>
      <c r="F5" s="41" t="s">
        <v>121</v>
      </c>
      <c r="G5" s="41" t="s">
        <v>119</v>
      </c>
      <c r="H5" s="42" t="s">
        <v>120</v>
      </c>
      <c r="I5" s="40" t="s">
        <v>123</v>
      </c>
      <c r="J5" s="41" t="s">
        <v>121</v>
      </c>
      <c r="K5" s="41" t="s">
        <v>119</v>
      </c>
      <c r="L5" s="42" t="s">
        <v>120</v>
      </c>
      <c r="M5" s="239"/>
      <c r="N5" s="239"/>
      <c r="O5" s="1" t="s">
        <v>119</v>
      </c>
      <c r="P5" s="43" t="s">
        <v>120</v>
      </c>
      <c r="Q5" s="44" t="s">
        <v>127</v>
      </c>
      <c r="R5" s="45" t="s">
        <v>128</v>
      </c>
      <c r="S5" s="45" t="s">
        <v>129</v>
      </c>
      <c r="T5" s="46" t="s">
        <v>144</v>
      </c>
      <c r="U5" s="46" t="s">
        <v>130</v>
      </c>
      <c r="V5" s="33">
        <v>750</v>
      </c>
      <c r="W5" s="34">
        <v>600</v>
      </c>
      <c r="X5" s="34">
        <v>500</v>
      </c>
      <c r="Y5" s="34">
        <v>375</v>
      </c>
      <c r="Z5" s="34">
        <v>300</v>
      </c>
      <c r="AA5" s="35">
        <v>180</v>
      </c>
      <c r="AB5" s="29" t="s">
        <v>133</v>
      </c>
      <c r="AC5" s="36" t="s">
        <v>134</v>
      </c>
      <c r="AD5" s="37" t="s">
        <v>136</v>
      </c>
      <c r="AE5" s="38" t="s">
        <v>140</v>
      </c>
      <c r="AF5" s="39" t="s">
        <v>141</v>
      </c>
      <c r="AG5" s="38" t="s">
        <v>137</v>
      </c>
      <c r="AH5" s="39" t="s">
        <v>138</v>
      </c>
      <c r="AI5" s="227"/>
    </row>
    <row r="6" spans="1:35" x14ac:dyDescent="0.3">
      <c r="A6" s="84">
        <v>1</v>
      </c>
      <c r="B6" s="85">
        <v>2</v>
      </c>
      <c r="C6" s="85">
        <v>3</v>
      </c>
      <c r="D6" s="86">
        <v>4</v>
      </c>
      <c r="E6" s="87">
        <v>5</v>
      </c>
      <c r="F6" s="88">
        <v>6</v>
      </c>
      <c r="G6" s="88">
        <v>7</v>
      </c>
      <c r="H6" s="88">
        <v>8</v>
      </c>
      <c r="I6" s="88">
        <v>9</v>
      </c>
      <c r="J6" s="88">
        <v>10</v>
      </c>
      <c r="K6" s="88">
        <v>11</v>
      </c>
      <c r="L6" s="89">
        <v>12</v>
      </c>
      <c r="M6" s="90">
        <v>13</v>
      </c>
      <c r="N6" s="91">
        <v>14</v>
      </c>
      <c r="O6" s="92">
        <v>15</v>
      </c>
      <c r="P6" s="93">
        <v>16</v>
      </c>
      <c r="Q6" s="90">
        <v>17</v>
      </c>
      <c r="R6" s="94">
        <v>18</v>
      </c>
      <c r="S6" s="94">
        <v>19</v>
      </c>
      <c r="T6" s="94">
        <v>20</v>
      </c>
      <c r="U6" s="91">
        <v>21</v>
      </c>
      <c r="V6" s="95">
        <v>22</v>
      </c>
      <c r="W6" s="96">
        <v>23</v>
      </c>
      <c r="X6" s="96">
        <v>24</v>
      </c>
      <c r="Y6" s="96">
        <v>25</v>
      </c>
      <c r="Z6" s="96">
        <v>26</v>
      </c>
      <c r="AA6" s="97">
        <v>27</v>
      </c>
      <c r="AB6" s="98">
        <v>28</v>
      </c>
      <c r="AC6" s="96">
        <v>29</v>
      </c>
      <c r="AD6" s="97">
        <v>30</v>
      </c>
      <c r="AE6" s="98">
        <v>31</v>
      </c>
      <c r="AF6" s="97">
        <v>32</v>
      </c>
      <c r="AG6" s="98">
        <v>33</v>
      </c>
      <c r="AH6" s="99">
        <v>34</v>
      </c>
      <c r="AI6" s="100">
        <v>35</v>
      </c>
    </row>
    <row r="7" spans="1:35" x14ac:dyDescent="0.3">
      <c r="A7" s="74" t="s">
        <v>178</v>
      </c>
      <c r="B7" s="75" t="s">
        <v>96</v>
      </c>
      <c r="C7" s="75" t="s">
        <v>145</v>
      </c>
      <c r="D7" s="76" t="s">
        <v>146</v>
      </c>
      <c r="E7" s="77" t="s">
        <v>93</v>
      </c>
      <c r="F7" s="78">
        <v>96</v>
      </c>
      <c r="G7" s="79">
        <v>8000</v>
      </c>
      <c r="H7" s="79">
        <f>G7*0.96</f>
        <v>7680</v>
      </c>
      <c r="I7" s="75" t="s">
        <v>146</v>
      </c>
      <c r="J7" s="75">
        <v>22.8</v>
      </c>
      <c r="K7" s="79">
        <v>33665</v>
      </c>
      <c r="L7" s="80">
        <v>7675.62</v>
      </c>
      <c r="M7" s="81" t="s">
        <v>147</v>
      </c>
      <c r="N7" s="102">
        <v>45985</v>
      </c>
      <c r="O7" s="48">
        <v>11492.13</v>
      </c>
      <c r="P7" s="47">
        <v>2620.21</v>
      </c>
      <c r="Q7" s="49">
        <v>0.97</v>
      </c>
      <c r="R7" s="4">
        <v>30.08</v>
      </c>
      <c r="S7" s="4">
        <v>22.79</v>
      </c>
      <c r="T7" s="4">
        <v>11492.13</v>
      </c>
      <c r="U7" s="103">
        <f>T7*0.228</f>
        <v>2620.2056400000001</v>
      </c>
      <c r="V7" s="48">
        <v>0</v>
      </c>
      <c r="W7" s="4">
        <v>19140</v>
      </c>
      <c r="X7" s="4">
        <v>0</v>
      </c>
      <c r="Y7" s="4">
        <v>0</v>
      </c>
      <c r="Z7" s="4">
        <v>0</v>
      </c>
      <c r="AA7" s="50">
        <v>0</v>
      </c>
      <c r="AB7" s="49">
        <f>W7*0.6</f>
        <v>11484</v>
      </c>
      <c r="AC7" s="106">
        <v>22.8</v>
      </c>
      <c r="AD7" s="103">
        <f>AB7*0.228</f>
        <v>2618.3520000000003</v>
      </c>
      <c r="AE7" s="104">
        <v>0</v>
      </c>
      <c r="AF7" s="103">
        <f>U7-AD7</f>
        <v>1.8536399999998139</v>
      </c>
      <c r="AG7" s="104">
        <f>U7*0.1%</f>
        <v>2.62020564</v>
      </c>
      <c r="AH7" s="105">
        <v>0</v>
      </c>
      <c r="AI7" s="82"/>
    </row>
    <row r="8" spans="1:35" x14ac:dyDescent="0.3">
      <c r="A8" s="56"/>
      <c r="B8" s="54"/>
      <c r="C8" s="54"/>
      <c r="D8" s="57"/>
      <c r="E8" s="71"/>
      <c r="F8" s="61"/>
      <c r="G8" s="61"/>
      <c r="H8" s="61"/>
      <c r="I8" s="61"/>
      <c r="J8" s="61"/>
      <c r="K8" s="61"/>
      <c r="L8" s="62"/>
      <c r="M8" s="101">
        <v>45962</v>
      </c>
      <c r="N8" s="66"/>
      <c r="O8" s="63"/>
      <c r="P8" s="67"/>
      <c r="Q8" s="65"/>
      <c r="R8" s="64"/>
      <c r="S8" s="64"/>
      <c r="T8" s="64"/>
      <c r="U8" s="66"/>
      <c r="V8" s="48"/>
      <c r="W8" s="4"/>
      <c r="X8" s="4"/>
      <c r="Y8" s="4"/>
      <c r="Z8" s="4"/>
      <c r="AA8" s="50"/>
      <c r="AB8" s="49"/>
      <c r="AC8" s="4"/>
      <c r="AD8" s="50"/>
      <c r="AE8" s="49"/>
      <c r="AF8" s="50"/>
      <c r="AG8" s="49"/>
      <c r="AH8" s="47"/>
      <c r="AI8" s="82"/>
    </row>
    <row r="9" spans="1:35" x14ac:dyDescent="0.3">
      <c r="A9" s="56"/>
      <c r="B9" s="54"/>
      <c r="C9" s="54"/>
      <c r="D9" s="57"/>
      <c r="E9" s="72"/>
      <c r="F9" s="54"/>
      <c r="G9" s="54"/>
      <c r="H9" s="54"/>
      <c r="I9" s="54"/>
      <c r="J9" s="54"/>
      <c r="K9" s="54"/>
      <c r="L9" s="55"/>
      <c r="M9" s="49"/>
      <c r="N9" s="50"/>
      <c r="O9" s="48"/>
      <c r="P9" s="47"/>
      <c r="Q9" s="49"/>
      <c r="R9" s="4"/>
      <c r="S9" s="4"/>
      <c r="T9" s="4"/>
      <c r="U9" s="50"/>
      <c r="V9" s="48"/>
      <c r="W9" s="4"/>
      <c r="X9" s="4"/>
      <c r="Y9" s="4"/>
      <c r="Z9" s="4"/>
      <c r="AA9" s="50"/>
      <c r="AB9" s="49"/>
      <c r="AC9" s="4"/>
      <c r="AD9" s="50"/>
      <c r="AE9" s="49"/>
      <c r="AF9" s="50"/>
      <c r="AG9" s="49"/>
      <c r="AH9" s="47"/>
      <c r="AI9" s="82"/>
    </row>
    <row r="10" spans="1:35" x14ac:dyDescent="0.3">
      <c r="A10" s="56"/>
      <c r="B10" s="54"/>
      <c r="C10" s="54"/>
      <c r="D10" s="57"/>
      <c r="E10" s="72"/>
      <c r="F10" s="54"/>
      <c r="G10" s="54"/>
      <c r="H10" s="54"/>
      <c r="I10" s="54"/>
      <c r="J10" s="54"/>
      <c r="K10" s="54"/>
      <c r="L10" s="55"/>
      <c r="M10" s="49"/>
      <c r="N10" s="50"/>
      <c r="O10" s="48"/>
      <c r="P10" s="47"/>
      <c r="Q10" s="49"/>
      <c r="R10" s="4"/>
      <c r="S10" s="4"/>
      <c r="T10" s="4"/>
      <c r="U10" s="50"/>
      <c r="V10" s="48"/>
      <c r="W10" s="4"/>
      <c r="X10" s="4"/>
      <c r="Y10" s="4"/>
      <c r="Z10" s="4"/>
      <c r="AA10" s="50"/>
      <c r="AB10" s="49"/>
      <c r="AC10" s="4"/>
      <c r="AD10" s="50"/>
      <c r="AE10" s="49"/>
      <c r="AF10" s="50"/>
      <c r="AG10" s="49"/>
      <c r="AH10" s="47"/>
      <c r="AI10" s="82"/>
    </row>
    <row r="11" spans="1:35" x14ac:dyDescent="0.3">
      <c r="A11" s="56"/>
      <c r="B11" s="54"/>
      <c r="C11" s="54"/>
      <c r="D11" s="57"/>
      <c r="E11" s="72"/>
      <c r="F11" s="54"/>
      <c r="G11" s="54"/>
      <c r="H11" s="54"/>
      <c r="I11" s="54"/>
      <c r="J11" s="54"/>
      <c r="K11" s="54"/>
      <c r="L11" s="55"/>
      <c r="M11" s="49"/>
      <c r="N11" s="50"/>
      <c r="O11" s="48"/>
      <c r="P11" s="47"/>
      <c r="Q11" s="49"/>
      <c r="R11" s="4"/>
      <c r="S11" s="4"/>
      <c r="T11" s="4"/>
      <c r="U11" s="50"/>
      <c r="V11" s="48"/>
      <c r="W11" s="4"/>
      <c r="X11" s="4"/>
      <c r="Y11" s="4"/>
      <c r="Z11" s="4"/>
      <c r="AA11" s="50"/>
      <c r="AB11" s="49"/>
      <c r="AC11" s="4"/>
      <c r="AD11" s="50"/>
      <c r="AE11" s="49"/>
      <c r="AF11" s="50"/>
      <c r="AG11" s="49"/>
      <c r="AH11" s="47"/>
      <c r="AI11" s="82"/>
    </row>
    <row r="12" spans="1:35" x14ac:dyDescent="0.3">
      <c r="A12" s="56"/>
      <c r="B12" s="54"/>
      <c r="C12" s="54"/>
      <c r="D12" s="57"/>
      <c r="E12" s="72"/>
      <c r="F12" s="54"/>
      <c r="G12" s="54"/>
      <c r="H12" s="54"/>
      <c r="I12" s="54"/>
      <c r="J12" s="54"/>
      <c r="K12" s="54"/>
      <c r="L12" s="55"/>
      <c r="M12" s="49"/>
      <c r="N12" s="50"/>
      <c r="O12" s="48"/>
      <c r="P12" s="47"/>
      <c r="Q12" s="49"/>
      <c r="R12" s="4"/>
      <c r="S12" s="4"/>
      <c r="T12" s="4"/>
      <c r="U12" s="50"/>
      <c r="V12" s="48"/>
      <c r="W12" s="4"/>
      <c r="X12" s="4"/>
      <c r="Y12" s="4"/>
      <c r="Z12" s="4"/>
      <c r="AA12" s="50"/>
      <c r="AB12" s="49"/>
      <c r="AC12" s="4"/>
      <c r="AD12" s="50"/>
      <c r="AE12" s="49"/>
      <c r="AF12" s="50"/>
      <c r="AG12" s="49"/>
      <c r="AH12" s="47"/>
      <c r="AI12" s="82"/>
    </row>
    <row r="13" spans="1:35" x14ac:dyDescent="0.3">
      <c r="A13" s="56"/>
      <c r="B13" s="54"/>
      <c r="C13" s="54"/>
      <c r="D13" s="57"/>
      <c r="E13" s="72"/>
      <c r="F13" s="54"/>
      <c r="G13" s="54"/>
      <c r="H13" s="54"/>
      <c r="I13" s="54"/>
      <c r="J13" s="54"/>
      <c r="K13" s="54"/>
      <c r="L13" s="55"/>
      <c r="M13" s="49"/>
      <c r="N13" s="50"/>
      <c r="O13" s="48"/>
      <c r="P13" s="47"/>
      <c r="Q13" s="49"/>
      <c r="R13" s="4"/>
      <c r="S13" s="4"/>
      <c r="T13" s="4"/>
      <c r="U13" s="50"/>
      <c r="V13" s="48"/>
      <c r="W13" s="4"/>
      <c r="X13" s="4"/>
      <c r="Y13" s="4"/>
      <c r="Z13" s="4"/>
      <c r="AA13" s="50"/>
      <c r="AB13" s="49"/>
      <c r="AC13" s="4"/>
      <c r="AD13" s="50"/>
      <c r="AE13" s="49"/>
      <c r="AF13" s="50"/>
      <c r="AG13" s="49"/>
      <c r="AH13" s="47"/>
      <c r="AI13" s="82"/>
    </row>
    <row r="14" spans="1:35" x14ac:dyDescent="0.3">
      <c r="A14" s="56"/>
      <c r="B14" s="54"/>
      <c r="C14" s="54"/>
      <c r="D14" s="57"/>
      <c r="E14" s="72"/>
      <c r="F14" s="54"/>
      <c r="G14" s="54"/>
      <c r="H14" s="54"/>
      <c r="I14" s="54"/>
      <c r="J14" s="54"/>
      <c r="K14" s="54"/>
      <c r="L14" s="55"/>
      <c r="M14" s="49"/>
      <c r="N14" s="50"/>
      <c r="O14" s="48"/>
      <c r="P14" s="47"/>
      <c r="Q14" s="49"/>
      <c r="R14" s="4"/>
      <c r="S14" s="4"/>
      <c r="T14" s="4"/>
      <c r="U14" s="50"/>
      <c r="V14" s="48"/>
      <c r="W14" s="4"/>
      <c r="X14" s="4"/>
      <c r="Y14" s="4"/>
      <c r="Z14" s="4"/>
      <c r="AA14" s="50"/>
      <c r="AB14" s="49"/>
      <c r="AC14" s="4"/>
      <c r="AD14" s="50"/>
      <c r="AE14" s="49"/>
      <c r="AF14" s="50"/>
      <c r="AG14" s="49"/>
      <c r="AH14" s="47"/>
      <c r="AI14" s="82"/>
    </row>
    <row r="15" spans="1:35" ht="15" thickBot="1" x14ac:dyDescent="0.35">
      <c r="A15" s="58"/>
      <c r="B15" s="59"/>
      <c r="C15" s="59"/>
      <c r="D15" s="60"/>
      <c r="E15" s="73"/>
      <c r="F15" s="59"/>
      <c r="G15" s="59"/>
      <c r="H15" s="59"/>
      <c r="I15" s="59"/>
      <c r="J15" s="59"/>
      <c r="K15" s="59"/>
      <c r="L15" s="68"/>
      <c r="M15" s="51"/>
      <c r="N15" s="53"/>
      <c r="O15" s="69"/>
      <c r="P15" s="70"/>
      <c r="Q15" s="51"/>
      <c r="R15" s="52"/>
      <c r="S15" s="52"/>
      <c r="T15" s="52"/>
      <c r="U15" s="53"/>
      <c r="V15" s="69"/>
      <c r="W15" s="52"/>
      <c r="X15" s="52"/>
      <c r="Y15" s="52"/>
      <c r="Z15" s="52"/>
      <c r="AA15" s="53"/>
      <c r="AB15" s="51"/>
      <c r="AC15" s="52"/>
      <c r="AD15" s="53"/>
      <c r="AE15" s="51"/>
      <c r="AF15" s="53"/>
      <c r="AG15" s="51"/>
      <c r="AH15" s="70"/>
      <c r="AI15" s="83"/>
    </row>
  </sheetData>
  <mergeCells count="14">
    <mergeCell ref="AI4:AI5"/>
    <mergeCell ref="A1:AH1"/>
    <mergeCell ref="A2:AH2"/>
    <mergeCell ref="V4:AA4"/>
    <mergeCell ref="AB4:AD4"/>
    <mergeCell ref="AE4:AF4"/>
    <mergeCell ref="AG4:AH4"/>
    <mergeCell ref="Q4:U4"/>
    <mergeCell ref="A4:D4"/>
    <mergeCell ref="E4:H4"/>
    <mergeCell ref="I4:L4"/>
    <mergeCell ref="O4:P4"/>
    <mergeCell ref="M4:M5"/>
    <mergeCell ref="N4:N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5"/>
  <sheetViews>
    <sheetView workbookViewId="0">
      <selection activeCell="A5" sqref="A5:CY7"/>
    </sheetView>
  </sheetViews>
  <sheetFormatPr defaultRowHeight="14.4" x14ac:dyDescent="0.3"/>
  <cols>
    <col min="2" max="11" width="6.6640625" customWidth="1"/>
    <col min="12" max="12" width="16.6640625" customWidth="1"/>
    <col min="13" max="17" width="6.6640625" customWidth="1"/>
    <col min="18" max="18" width="9" customWidth="1"/>
    <col min="19" max="28" width="6.6640625" customWidth="1"/>
    <col min="29" max="29" width="17.5546875" customWidth="1"/>
    <col min="30" max="34" width="6.6640625" customWidth="1"/>
    <col min="35" max="35" width="8.33203125" customWidth="1"/>
    <col min="36" max="45" width="6.6640625" customWidth="1"/>
    <col min="46" max="46" width="17.109375" customWidth="1"/>
    <col min="47" max="51" width="6.6640625" customWidth="1"/>
    <col min="52" max="52" width="8.6640625" customWidth="1"/>
    <col min="53" max="62" width="6.6640625" customWidth="1"/>
    <col min="63" max="63" width="17" customWidth="1"/>
    <col min="64" max="79" width="6.6640625" customWidth="1"/>
    <col min="80" max="80" width="17.109375" customWidth="1"/>
    <col min="81" max="85" width="6.6640625" customWidth="1"/>
    <col min="86" max="86" width="10.33203125" customWidth="1"/>
    <col min="87" max="96" width="6.6640625" customWidth="1"/>
    <col min="97" max="97" width="17.44140625" customWidth="1"/>
    <col min="98" max="102" width="6.6640625" customWidth="1"/>
    <col min="103" max="103" width="8.33203125" customWidth="1"/>
    <col min="104" max="104" width="10.44140625" customWidth="1"/>
  </cols>
  <sheetData>
    <row r="1" spans="1:104" ht="18" x14ac:dyDescent="0.3">
      <c r="A1" s="243" t="s">
        <v>43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  <c r="AR1" s="243"/>
      <c r="AS1" s="243"/>
      <c r="AT1" s="243"/>
      <c r="AU1" s="243"/>
      <c r="AV1" s="243"/>
      <c r="AW1" s="243"/>
      <c r="AX1" s="243"/>
      <c r="AY1" s="243"/>
      <c r="AZ1" s="243"/>
      <c r="BA1" s="243"/>
      <c r="BB1" s="243"/>
      <c r="BC1" s="243"/>
      <c r="BD1" s="243"/>
      <c r="BE1" s="243"/>
      <c r="BF1" s="243"/>
      <c r="BG1" s="243"/>
      <c r="BH1" s="243"/>
      <c r="BI1" s="243"/>
      <c r="BJ1" s="243"/>
      <c r="BK1" s="243"/>
      <c r="BL1" s="243"/>
      <c r="BM1" s="243"/>
      <c r="BN1" s="243"/>
      <c r="BO1" s="243"/>
      <c r="BP1" s="243"/>
      <c r="BQ1" s="243"/>
      <c r="BR1" s="243"/>
      <c r="BS1" s="243"/>
      <c r="BT1" s="243"/>
      <c r="BU1" s="243"/>
      <c r="BV1" s="243"/>
      <c r="BW1" s="243"/>
      <c r="BX1" s="243"/>
      <c r="BY1" s="243"/>
      <c r="BZ1" s="243"/>
      <c r="CA1" s="243"/>
      <c r="CB1" s="243"/>
      <c r="CC1" s="243"/>
      <c r="CD1" s="243"/>
      <c r="CE1" s="243"/>
      <c r="CF1" s="243"/>
      <c r="CG1" s="243"/>
      <c r="CH1" s="243"/>
      <c r="CI1" s="243"/>
      <c r="CJ1" s="243"/>
      <c r="CK1" s="243"/>
      <c r="CL1" s="243"/>
      <c r="CM1" s="243"/>
      <c r="CN1" s="243"/>
      <c r="CO1" s="243"/>
      <c r="CP1" s="243"/>
      <c r="CQ1" s="243"/>
      <c r="CR1" s="243"/>
      <c r="CS1" s="243"/>
      <c r="CT1" s="243"/>
      <c r="CU1" s="243"/>
      <c r="CV1" s="243"/>
      <c r="CW1" s="243"/>
      <c r="CX1" s="243"/>
      <c r="CY1" s="243"/>
      <c r="CZ1" s="243"/>
    </row>
    <row r="2" spans="1:104" ht="18" x14ac:dyDescent="0.3">
      <c r="A2" s="243" t="s">
        <v>44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Q2" s="243"/>
      <c r="CR2" s="243"/>
      <c r="CS2" s="243"/>
      <c r="CT2" s="243"/>
      <c r="CU2" s="243"/>
      <c r="CV2" s="243"/>
      <c r="CW2" s="243"/>
      <c r="CX2" s="243"/>
      <c r="CY2" s="243"/>
      <c r="CZ2" s="243"/>
    </row>
    <row r="3" spans="1:104" ht="18" x14ac:dyDescent="0.3">
      <c r="A3" s="107" t="s">
        <v>160</v>
      </c>
      <c r="B3" s="107"/>
      <c r="C3" s="107"/>
      <c r="D3" s="107"/>
    </row>
    <row r="4" spans="1:104" ht="15" thickBot="1" x14ac:dyDescent="0.35"/>
    <row r="5" spans="1:104" ht="24.9" customHeight="1" thickBot="1" x14ac:dyDescent="0.35">
      <c r="A5" s="112"/>
      <c r="B5" s="248" t="s">
        <v>159</v>
      </c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50"/>
      <c r="S5" s="251" t="s">
        <v>162</v>
      </c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3"/>
      <c r="AJ5" s="254" t="s">
        <v>163</v>
      </c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5"/>
      <c r="AV5" s="255"/>
      <c r="AW5" s="255"/>
      <c r="AX5" s="255"/>
      <c r="AY5" s="255"/>
      <c r="AZ5" s="256"/>
      <c r="BA5" s="257" t="s">
        <v>164</v>
      </c>
      <c r="BB5" s="258"/>
      <c r="BC5" s="258"/>
      <c r="BD5" s="258"/>
      <c r="BE5" s="258"/>
      <c r="BF5" s="258"/>
      <c r="BG5" s="258"/>
      <c r="BH5" s="258"/>
      <c r="BI5" s="258"/>
      <c r="BJ5" s="258"/>
      <c r="BK5" s="258"/>
      <c r="BL5" s="258"/>
      <c r="BM5" s="258"/>
      <c r="BN5" s="258"/>
      <c r="BO5" s="258"/>
      <c r="BP5" s="258"/>
      <c r="BQ5" s="259"/>
      <c r="BR5" s="260" t="s">
        <v>156</v>
      </c>
      <c r="BS5" s="261"/>
      <c r="BT5" s="261"/>
      <c r="BU5" s="261"/>
      <c r="BV5" s="261"/>
      <c r="BW5" s="261"/>
      <c r="BX5" s="261"/>
      <c r="BY5" s="261"/>
      <c r="BZ5" s="261"/>
      <c r="CA5" s="261"/>
      <c r="CB5" s="261"/>
      <c r="CC5" s="261"/>
      <c r="CD5" s="261"/>
      <c r="CE5" s="261"/>
      <c r="CF5" s="261"/>
      <c r="CG5" s="261"/>
      <c r="CH5" s="262"/>
      <c r="CI5" s="263" t="s">
        <v>161</v>
      </c>
      <c r="CJ5" s="264"/>
      <c r="CK5" s="264"/>
      <c r="CL5" s="264"/>
      <c r="CM5" s="264"/>
      <c r="CN5" s="264"/>
      <c r="CO5" s="264"/>
      <c r="CP5" s="264"/>
      <c r="CQ5" s="264"/>
      <c r="CR5" s="264"/>
      <c r="CS5" s="264"/>
      <c r="CT5" s="264"/>
      <c r="CU5" s="264"/>
      <c r="CV5" s="264"/>
      <c r="CW5" s="264"/>
      <c r="CX5" s="264"/>
      <c r="CY5" s="265"/>
      <c r="CZ5" s="108"/>
    </row>
    <row r="6" spans="1:104" ht="16.2" x14ac:dyDescent="0.3">
      <c r="A6" s="246" t="s">
        <v>148</v>
      </c>
      <c r="B6" s="193" t="s">
        <v>166</v>
      </c>
      <c r="C6" s="202"/>
      <c r="D6" s="202"/>
      <c r="E6" s="202"/>
      <c r="F6" s="202"/>
      <c r="G6" s="202" t="s">
        <v>165</v>
      </c>
      <c r="H6" s="202"/>
      <c r="I6" s="202"/>
      <c r="J6" s="202"/>
      <c r="K6" s="202"/>
      <c r="L6" s="110" t="s">
        <v>167</v>
      </c>
      <c r="M6" s="202" t="s">
        <v>168</v>
      </c>
      <c r="N6" s="202"/>
      <c r="O6" s="202"/>
      <c r="P6" s="202"/>
      <c r="Q6" s="202"/>
      <c r="R6" s="240" t="s">
        <v>155</v>
      </c>
      <c r="S6" s="193" t="s">
        <v>166</v>
      </c>
      <c r="T6" s="202"/>
      <c r="U6" s="202"/>
      <c r="V6" s="202"/>
      <c r="W6" s="202"/>
      <c r="X6" s="202" t="s">
        <v>165</v>
      </c>
      <c r="Y6" s="202"/>
      <c r="Z6" s="202"/>
      <c r="AA6" s="202"/>
      <c r="AB6" s="202"/>
      <c r="AC6" s="110" t="s">
        <v>167</v>
      </c>
      <c r="AD6" s="202" t="s">
        <v>168</v>
      </c>
      <c r="AE6" s="202"/>
      <c r="AF6" s="202"/>
      <c r="AG6" s="202"/>
      <c r="AH6" s="202"/>
      <c r="AI6" s="240" t="s">
        <v>155</v>
      </c>
      <c r="AJ6" s="193" t="s">
        <v>166</v>
      </c>
      <c r="AK6" s="202"/>
      <c r="AL6" s="202"/>
      <c r="AM6" s="202"/>
      <c r="AN6" s="202"/>
      <c r="AO6" s="202" t="s">
        <v>165</v>
      </c>
      <c r="AP6" s="202"/>
      <c r="AQ6" s="202"/>
      <c r="AR6" s="202"/>
      <c r="AS6" s="202"/>
      <c r="AT6" s="110" t="s">
        <v>167</v>
      </c>
      <c r="AU6" s="202" t="s">
        <v>168</v>
      </c>
      <c r="AV6" s="202"/>
      <c r="AW6" s="202"/>
      <c r="AX6" s="202"/>
      <c r="AY6" s="202"/>
      <c r="AZ6" s="242" t="s">
        <v>155</v>
      </c>
      <c r="BA6" s="193" t="s">
        <v>166</v>
      </c>
      <c r="BB6" s="202"/>
      <c r="BC6" s="202"/>
      <c r="BD6" s="202"/>
      <c r="BE6" s="202"/>
      <c r="BF6" s="202" t="s">
        <v>165</v>
      </c>
      <c r="BG6" s="202"/>
      <c r="BH6" s="202"/>
      <c r="BI6" s="202"/>
      <c r="BJ6" s="202"/>
      <c r="BK6" s="110" t="s">
        <v>167</v>
      </c>
      <c r="BL6" s="202" t="s">
        <v>168</v>
      </c>
      <c r="BM6" s="202"/>
      <c r="BN6" s="202"/>
      <c r="BO6" s="202"/>
      <c r="BP6" s="202"/>
      <c r="BQ6" s="242" t="s">
        <v>155</v>
      </c>
      <c r="BR6" s="193" t="s">
        <v>166</v>
      </c>
      <c r="BS6" s="202"/>
      <c r="BT6" s="202"/>
      <c r="BU6" s="202"/>
      <c r="BV6" s="202"/>
      <c r="BW6" s="202" t="s">
        <v>165</v>
      </c>
      <c r="BX6" s="202"/>
      <c r="BY6" s="202"/>
      <c r="BZ6" s="202"/>
      <c r="CA6" s="202"/>
      <c r="CB6" s="110" t="s">
        <v>167</v>
      </c>
      <c r="CC6" s="202" t="s">
        <v>168</v>
      </c>
      <c r="CD6" s="202"/>
      <c r="CE6" s="202"/>
      <c r="CF6" s="202"/>
      <c r="CG6" s="202"/>
      <c r="CH6" s="242" t="s">
        <v>155</v>
      </c>
      <c r="CI6" s="193" t="s">
        <v>166</v>
      </c>
      <c r="CJ6" s="202"/>
      <c r="CK6" s="202"/>
      <c r="CL6" s="202"/>
      <c r="CM6" s="202"/>
      <c r="CN6" s="202" t="s">
        <v>165</v>
      </c>
      <c r="CO6" s="202"/>
      <c r="CP6" s="202"/>
      <c r="CQ6" s="202"/>
      <c r="CR6" s="202"/>
      <c r="CS6" s="110" t="s">
        <v>167</v>
      </c>
      <c r="CT6" s="202" t="s">
        <v>168</v>
      </c>
      <c r="CU6" s="202"/>
      <c r="CV6" s="202"/>
      <c r="CW6" s="202"/>
      <c r="CX6" s="202"/>
      <c r="CY6" s="242" t="s">
        <v>155</v>
      </c>
      <c r="CZ6" s="244" t="s">
        <v>157</v>
      </c>
    </row>
    <row r="7" spans="1:104" x14ac:dyDescent="0.3">
      <c r="A7" s="247"/>
      <c r="B7" s="114" t="s">
        <v>149</v>
      </c>
      <c r="C7" s="111" t="s">
        <v>150</v>
      </c>
      <c r="D7" s="111" t="s">
        <v>151</v>
      </c>
      <c r="E7" s="111" t="s">
        <v>152</v>
      </c>
      <c r="F7" s="111" t="s">
        <v>153</v>
      </c>
      <c r="G7" s="111" t="s">
        <v>154</v>
      </c>
      <c r="H7" s="111" t="s">
        <v>150</v>
      </c>
      <c r="I7" s="111" t="s">
        <v>151</v>
      </c>
      <c r="J7" s="111" t="s">
        <v>152</v>
      </c>
      <c r="K7" s="111" t="s">
        <v>153</v>
      </c>
      <c r="L7" s="111" t="s">
        <v>152</v>
      </c>
      <c r="M7" s="111" t="s">
        <v>154</v>
      </c>
      <c r="N7" s="111" t="s">
        <v>150</v>
      </c>
      <c r="O7" s="111" t="s">
        <v>151</v>
      </c>
      <c r="P7" s="111" t="s">
        <v>152</v>
      </c>
      <c r="Q7" s="111" t="s">
        <v>153</v>
      </c>
      <c r="R7" s="241"/>
      <c r="S7" s="81" t="s">
        <v>149</v>
      </c>
      <c r="T7" s="109" t="s">
        <v>150</v>
      </c>
      <c r="U7" s="109" t="s">
        <v>151</v>
      </c>
      <c r="V7" s="109" t="s">
        <v>152</v>
      </c>
      <c r="W7" s="109" t="s">
        <v>153</v>
      </c>
      <c r="X7" s="109" t="s">
        <v>154</v>
      </c>
      <c r="Y7" s="109" t="s">
        <v>150</v>
      </c>
      <c r="Z7" s="109" t="s">
        <v>151</v>
      </c>
      <c r="AA7" s="109" t="s">
        <v>152</v>
      </c>
      <c r="AB7" s="109" t="s">
        <v>153</v>
      </c>
      <c r="AC7" s="109" t="s">
        <v>152</v>
      </c>
      <c r="AD7" s="109" t="s">
        <v>154</v>
      </c>
      <c r="AE7" s="109" t="s">
        <v>150</v>
      </c>
      <c r="AF7" s="109" t="s">
        <v>151</v>
      </c>
      <c r="AG7" s="109" t="s">
        <v>152</v>
      </c>
      <c r="AH7" s="109" t="s">
        <v>153</v>
      </c>
      <c r="AI7" s="241"/>
      <c r="AJ7" s="81" t="s">
        <v>149</v>
      </c>
      <c r="AK7" s="109" t="s">
        <v>150</v>
      </c>
      <c r="AL7" s="109" t="s">
        <v>151</v>
      </c>
      <c r="AM7" s="109" t="s">
        <v>152</v>
      </c>
      <c r="AN7" s="109" t="s">
        <v>153</v>
      </c>
      <c r="AO7" s="109" t="s">
        <v>154</v>
      </c>
      <c r="AP7" s="109" t="s">
        <v>150</v>
      </c>
      <c r="AQ7" s="109" t="s">
        <v>151</v>
      </c>
      <c r="AR7" s="109" t="s">
        <v>152</v>
      </c>
      <c r="AS7" s="109" t="s">
        <v>153</v>
      </c>
      <c r="AT7" s="109" t="s">
        <v>152</v>
      </c>
      <c r="AU7" s="109" t="s">
        <v>154</v>
      </c>
      <c r="AV7" s="109" t="s">
        <v>150</v>
      </c>
      <c r="AW7" s="109" t="s">
        <v>151</v>
      </c>
      <c r="AX7" s="109" t="s">
        <v>152</v>
      </c>
      <c r="AY7" s="109" t="s">
        <v>153</v>
      </c>
      <c r="AZ7" s="241"/>
      <c r="BA7" s="81" t="s">
        <v>149</v>
      </c>
      <c r="BB7" s="109" t="s">
        <v>150</v>
      </c>
      <c r="BC7" s="109" t="s">
        <v>151</v>
      </c>
      <c r="BD7" s="109" t="s">
        <v>152</v>
      </c>
      <c r="BE7" s="109" t="s">
        <v>153</v>
      </c>
      <c r="BF7" s="109" t="s">
        <v>154</v>
      </c>
      <c r="BG7" s="109" t="s">
        <v>150</v>
      </c>
      <c r="BH7" s="109" t="s">
        <v>151</v>
      </c>
      <c r="BI7" s="109" t="s">
        <v>152</v>
      </c>
      <c r="BJ7" s="109" t="s">
        <v>153</v>
      </c>
      <c r="BK7" s="109" t="s">
        <v>152</v>
      </c>
      <c r="BL7" s="109" t="s">
        <v>154</v>
      </c>
      <c r="BM7" s="109" t="s">
        <v>150</v>
      </c>
      <c r="BN7" s="109" t="s">
        <v>151</v>
      </c>
      <c r="BO7" s="109" t="s">
        <v>152</v>
      </c>
      <c r="BP7" s="109" t="s">
        <v>153</v>
      </c>
      <c r="BQ7" s="241"/>
      <c r="BR7" s="81" t="s">
        <v>149</v>
      </c>
      <c r="BS7" s="109" t="s">
        <v>150</v>
      </c>
      <c r="BT7" s="109" t="s">
        <v>151</v>
      </c>
      <c r="BU7" s="109" t="s">
        <v>152</v>
      </c>
      <c r="BV7" s="109" t="s">
        <v>153</v>
      </c>
      <c r="BW7" s="109" t="s">
        <v>154</v>
      </c>
      <c r="BX7" s="109" t="s">
        <v>150</v>
      </c>
      <c r="BY7" s="109" t="s">
        <v>151</v>
      </c>
      <c r="BZ7" s="109" t="s">
        <v>152</v>
      </c>
      <c r="CA7" s="109" t="s">
        <v>153</v>
      </c>
      <c r="CB7" s="109" t="s">
        <v>152</v>
      </c>
      <c r="CC7" s="109" t="s">
        <v>154</v>
      </c>
      <c r="CD7" s="109" t="s">
        <v>150</v>
      </c>
      <c r="CE7" s="109" t="s">
        <v>151</v>
      </c>
      <c r="CF7" s="109" t="s">
        <v>152</v>
      </c>
      <c r="CG7" s="109" t="s">
        <v>153</v>
      </c>
      <c r="CH7" s="241"/>
      <c r="CI7" s="81" t="s">
        <v>149</v>
      </c>
      <c r="CJ7" s="109" t="s">
        <v>150</v>
      </c>
      <c r="CK7" s="109" t="s">
        <v>151</v>
      </c>
      <c r="CL7" s="109" t="s">
        <v>152</v>
      </c>
      <c r="CM7" s="109" t="s">
        <v>153</v>
      </c>
      <c r="CN7" s="109" t="s">
        <v>154</v>
      </c>
      <c r="CO7" s="109" t="s">
        <v>150</v>
      </c>
      <c r="CP7" s="109" t="s">
        <v>151</v>
      </c>
      <c r="CQ7" s="109" t="s">
        <v>152</v>
      </c>
      <c r="CR7" s="109" t="s">
        <v>153</v>
      </c>
      <c r="CS7" s="109" t="s">
        <v>152</v>
      </c>
      <c r="CT7" s="109" t="s">
        <v>154</v>
      </c>
      <c r="CU7" s="109" t="s">
        <v>150</v>
      </c>
      <c r="CV7" s="109" t="s">
        <v>151</v>
      </c>
      <c r="CW7" s="109" t="s">
        <v>152</v>
      </c>
      <c r="CX7" s="109" t="s">
        <v>153</v>
      </c>
      <c r="CY7" s="241"/>
      <c r="CZ7" s="245"/>
    </row>
    <row r="8" spans="1:104" x14ac:dyDescent="0.3">
      <c r="A8" s="82"/>
      <c r="B8" s="49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50"/>
      <c r="S8" s="49"/>
      <c r="T8" s="4"/>
      <c r="U8" s="4"/>
      <c r="V8" s="4"/>
      <c r="W8" s="4"/>
      <c r="X8" s="4">
        <v>19140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50">
        <f>X8*0.228</f>
        <v>4363.92</v>
      </c>
      <c r="AJ8" s="49"/>
      <c r="AK8" s="4"/>
      <c r="AL8" s="4"/>
      <c r="AM8" s="4"/>
      <c r="AN8" s="4"/>
      <c r="AO8" s="4">
        <v>19140</v>
      </c>
      <c r="AP8" s="4"/>
      <c r="AQ8" s="4"/>
      <c r="AR8" s="4"/>
      <c r="AS8" s="4"/>
      <c r="AT8" s="4"/>
      <c r="AU8" s="4"/>
      <c r="AV8" s="4"/>
      <c r="AW8" s="4"/>
      <c r="AX8" s="4"/>
      <c r="AY8" s="4"/>
      <c r="AZ8" s="50">
        <f>AO8*0.228</f>
        <v>4363.92</v>
      </c>
      <c r="BA8" s="49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50"/>
      <c r="BR8" s="49"/>
      <c r="BS8" s="4"/>
      <c r="BT8" s="4"/>
      <c r="BU8" s="4"/>
      <c r="BV8" s="4"/>
      <c r="BW8" s="4">
        <v>10000</v>
      </c>
      <c r="BX8" s="4"/>
      <c r="BY8" s="4"/>
      <c r="BZ8" s="4"/>
      <c r="CA8" s="4"/>
      <c r="CB8" s="4"/>
      <c r="CC8" s="4"/>
      <c r="CD8" s="4"/>
      <c r="CE8" s="4"/>
      <c r="CF8" s="4"/>
      <c r="CG8" s="4"/>
      <c r="CH8" s="103">
        <f>BW8*0.228</f>
        <v>2280</v>
      </c>
      <c r="CI8" s="49"/>
      <c r="CJ8" s="4"/>
      <c r="CK8" s="4"/>
      <c r="CL8" s="4"/>
      <c r="CM8" s="4"/>
      <c r="CN8" s="4">
        <f>AO8-BW8</f>
        <v>9140</v>
      </c>
      <c r="CO8" s="4"/>
      <c r="CP8" s="4"/>
      <c r="CQ8" s="4"/>
      <c r="CR8" s="4"/>
      <c r="CS8" s="4"/>
      <c r="CT8" s="4"/>
      <c r="CU8" s="4"/>
      <c r="CV8" s="4"/>
      <c r="CW8" s="4"/>
      <c r="CX8" s="4"/>
      <c r="CY8" s="50">
        <f>CN8*0.228</f>
        <v>2083.92</v>
      </c>
      <c r="CZ8" s="82"/>
    </row>
    <row r="9" spans="1:104" x14ac:dyDescent="0.3">
      <c r="A9" s="82"/>
      <c r="B9" s="4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50"/>
      <c r="S9" s="49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0"/>
      <c r="AJ9" s="49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50"/>
      <c r="BA9" s="49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50"/>
      <c r="BR9" s="49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50"/>
      <c r="CI9" s="49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50"/>
      <c r="CZ9" s="82"/>
    </row>
    <row r="10" spans="1:104" x14ac:dyDescent="0.3">
      <c r="A10" s="82"/>
      <c r="B10" s="4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50"/>
      <c r="S10" s="49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0"/>
      <c r="AJ10" s="49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50"/>
      <c r="BA10" s="49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50"/>
      <c r="BR10" s="49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50"/>
      <c r="CI10" s="49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50"/>
      <c r="CZ10" s="82"/>
    </row>
    <row r="11" spans="1:104" x14ac:dyDescent="0.3">
      <c r="A11" s="82"/>
      <c r="B11" s="4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50"/>
      <c r="S11" s="49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0"/>
      <c r="AJ11" s="49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50"/>
      <c r="BA11" s="49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50"/>
      <c r="BR11" s="49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50"/>
      <c r="CI11" s="49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50"/>
      <c r="CZ11" s="82"/>
    </row>
    <row r="12" spans="1:104" x14ac:dyDescent="0.3">
      <c r="A12" s="82"/>
      <c r="B12" s="4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50"/>
      <c r="S12" s="49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0"/>
      <c r="AJ12" s="49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50"/>
      <c r="BA12" s="49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50"/>
      <c r="BR12" s="49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50"/>
      <c r="CI12" s="49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50"/>
      <c r="CZ12" s="82" t="s">
        <v>158</v>
      </c>
    </row>
    <row r="13" spans="1:104" x14ac:dyDescent="0.3">
      <c r="A13" s="82"/>
      <c r="B13" s="4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50"/>
      <c r="S13" s="49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50"/>
      <c r="AJ13" s="49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50"/>
      <c r="BA13" s="49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50"/>
      <c r="BR13" s="49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50"/>
      <c r="CI13" s="49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50"/>
      <c r="CZ13" s="82"/>
    </row>
    <row r="14" spans="1:104" x14ac:dyDescent="0.3">
      <c r="A14" s="82"/>
      <c r="B14" s="4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50"/>
      <c r="S14" s="49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50"/>
      <c r="AJ14" s="49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50"/>
      <c r="BA14" s="49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50"/>
      <c r="BR14" s="49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50"/>
      <c r="CI14" s="49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50"/>
      <c r="CZ14" s="82"/>
    </row>
    <row r="15" spans="1:104" ht="15" thickBot="1" x14ac:dyDescent="0.35">
      <c r="A15" s="83"/>
      <c r="B15" s="51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3"/>
      <c r="S15" s="51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3"/>
      <c r="AJ15" s="51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3"/>
      <c r="BA15" s="51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3"/>
      <c r="BR15" s="51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3"/>
      <c r="CI15" s="51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3"/>
      <c r="CZ15" s="83"/>
    </row>
  </sheetData>
  <mergeCells count="34">
    <mergeCell ref="A1:CZ1"/>
    <mergeCell ref="A2:CZ2"/>
    <mergeCell ref="CZ6:CZ7"/>
    <mergeCell ref="A6:A7"/>
    <mergeCell ref="B5:R5"/>
    <mergeCell ref="S5:AI5"/>
    <mergeCell ref="AJ5:AZ5"/>
    <mergeCell ref="BA5:BQ5"/>
    <mergeCell ref="BR5:CH5"/>
    <mergeCell ref="CI5:CY5"/>
    <mergeCell ref="CH6:CH7"/>
    <mergeCell ref="CI6:CM6"/>
    <mergeCell ref="CN6:CR6"/>
    <mergeCell ref="CT6:CX6"/>
    <mergeCell ref="CY6:CY7"/>
    <mergeCell ref="BA6:BE6"/>
    <mergeCell ref="CC6:CG6"/>
    <mergeCell ref="AI6:AI7"/>
    <mergeCell ref="AJ6:AN6"/>
    <mergeCell ref="AO6:AS6"/>
    <mergeCell ref="AU6:AY6"/>
    <mergeCell ref="AZ6:AZ7"/>
    <mergeCell ref="BF6:BJ6"/>
    <mergeCell ref="BL6:BP6"/>
    <mergeCell ref="BQ6:BQ7"/>
    <mergeCell ref="BR6:BV6"/>
    <mergeCell ref="BW6:CA6"/>
    <mergeCell ref="X6:AB6"/>
    <mergeCell ref="AD6:AH6"/>
    <mergeCell ref="B6:F6"/>
    <mergeCell ref="G6:K6"/>
    <mergeCell ref="M6:Q6"/>
    <mergeCell ref="R6:R7"/>
    <mergeCell ref="S6:W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"/>
  <sheetViews>
    <sheetView topLeftCell="X1" workbookViewId="0">
      <selection activeCell="A6" sqref="A6:Z8"/>
    </sheetView>
  </sheetViews>
  <sheetFormatPr defaultRowHeight="14.4" x14ac:dyDescent="0.3"/>
  <cols>
    <col min="1" max="1" width="9.44140625" customWidth="1"/>
    <col min="2" max="2" width="12.88671875" customWidth="1"/>
    <col min="3" max="3" width="11.88671875" customWidth="1"/>
    <col min="4" max="4" width="18" customWidth="1"/>
    <col min="5" max="5" width="11.5546875" customWidth="1"/>
    <col min="22" max="22" width="10.6640625" customWidth="1"/>
    <col min="23" max="23" width="13.5546875" customWidth="1"/>
    <col min="24" max="25" width="12.44140625" customWidth="1"/>
    <col min="26" max="26" width="11.6640625" customWidth="1"/>
  </cols>
  <sheetData>
    <row r="1" spans="1:26" ht="18" x14ac:dyDescent="0.35">
      <c r="A1" s="209" t="s">
        <v>43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 spans="1:26" ht="18" x14ac:dyDescent="0.35">
      <c r="A2" s="209" t="s">
        <v>44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4" spans="1:26" ht="15.6" x14ac:dyDescent="0.3">
      <c r="A4" s="5" t="s">
        <v>211</v>
      </c>
    </row>
    <row r="5" spans="1:26" ht="15.6" x14ac:dyDescent="0.3">
      <c r="A5" s="5" t="s">
        <v>212</v>
      </c>
    </row>
    <row r="6" spans="1:26" ht="17.25" customHeight="1" x14ac:dyDescent="0.3">
      <c r="A6" s="266" t="s">
        <v>148</v>
      </c>
      <c r="B6" s="266" t="s">
        <v>200</v>
      </c>
      <c r="C6" s="266" t="s">
        <v>201</v>
      </c>
      <c r="D6" s="266" t="s">
        <v>199</v>
      </c>
      <c r="E6" s="266" t="s">
        <v>269</v>
      </c>
      <c r="F6" s="267" t="s">
        <v>210</v>
      </c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6" t="s">
        <v>213</v>
      </c>
      <c r="W6" s="266" t="s">
        <v>206</v>
      </c>
      <c r="X6" s="266" t="s">
        <v>207</v>
      </c>
      <c r="Y6" s="266" t="s">
        <v>157</v>
      </c>
      <c r="Z6" s="266" t="s">
        <v>208</v>
      </c>
    </row>
    <row r="7" spans="1:26" ht="28.5" customHeight="1" x14ac:dyDescent="0.3">
      <c r="A7" s="266"/>
      <c r="B7" s="266"/>
      <c r="C7" s="266"/>
      <c r="D7" s="266"/>
      <c r="E7" s="266"/>
      <c r="F7" s="197" t="s">
        <v>202</v>
      </c>
      <c r="G7" s="197"/>
      <c r="H7" s="197"/>
      <c r="I7" s="197"/>
      <c r="J7" s="197"/>
      <c r="K7" s="197" t="s">
        <v>203</v>
      </c>
      <c r="L7" s="197"/>
      <c r="M7" s="197"/>
      <c r="N7" s="197"/>
      <c r="O7" s="197"/>
      <c r="P7" s="113" t="s">
        <v>204</v>
      </c>
      <c r="Q7" s="197" t="s">
        <v>205</v>
      </c>
      <c r="R7" s="197"/>
      <c r="S7" s="197"/>
      <c r="T7" s="197"/>
      <c r="U7" s="197"/>
      <c r="V7" s="266"/>
      <c r="W7" s="266"/>
      <c r="X7" s="266"/>
      <c r="Y7" s="266"/>
      <c r="Z7" s="266"/>
    </row>
    <row r="8" spans="1:26" x14ac:dyDescent="0.3">
      <c r="A8" s="266"/>
      <c r="B8" s="113" t="s">
        <v>209</v>
      </c>
      <c r="C8" s="113" t="s">
        <v>209</v>
      </c>
      <c r="D8" s="266"/>
      <c r="E8" s="113" t="s">
        <v>209</v>
      </c>
      <c r="F8" s="113" t="s">
        <v>149</v>
      </c>
      <c r="G8" s="113" t="s">
        <v>150</v>
      </c>
      <c r="H8" s="113" t="s">
        <v>151</v>
      </c>
      <c r="I8" s="113" t="s">
        <v>152</v>
      </c>
      <c r="J8" s="113" t="s">
        <v>153</v>
      </c>
      <c r="K8" s="113" t="s">
        <v>154</v>
      </c>
      <c r="L8" s="113" t="s">
        <v>150</v>
      </c>
      <c r="M8" s="113" t="s">
        <v>151</v>
      </c>
      <c r="N8" s="113" t="s">
        <v>152</v>
      </c>
      <c r="O8" s="113" t="s">
        <v>153</v>
      </c>
      <c r="P8" s="113" t="s">
        <v>152</v>
      </c>
      <c r="Q8" s="113" t="s">
        <v>154</v>
      </c>
      <c r="R8" s="113" t="s">
        <v>150</v>
      </c>
      <c r="S8" s="113" t="s">
        <v>151</v>
      </c>
      <c r="T8" s="113" t="s">
        <v>152</v>
      </c>
      <c r="U8" s="113" t="s">
        <v>153</v>
      </c>
      <c r="V8" s="113" t="s">
        <v>26</v>
      </c>
      <c r="W8" s="113" t="s">
        <v>209</v>
      </c>
      <c r="X8" s="113" t="s">
        <v>209</v>
      </c>
      <c r="Y8" s="266"/>
      <c r="Z8" s="266"/>
    </row>
    <row r="9" spans="1:2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</sheetData>
  <mergeCells count="16">
    <mergeCell ref="A6:A8"/>
    <mergeCell ref="Y6:Y8"/>
    <mergeCell ref="Z6:Z8"/>
    <mergeCell ref="A1:Z1"/>
    <mergeCell ref="A2:Z2"/>
    <mergeCell ref="W6:W7"/>
    <mergeCell ref="X6:X7"/>
    <mergeCell ref="V6:V7"/>
    <mergeCell ref="D6:D8"/>
    <mergeCell ref="F7:J7"/>
    <mergeCell ref="K7:O7"/>
    <mergeCell ref="Q7:U7"/>
    <mergeCell ref="F6:U6"/>
    <mergeCell ref="B6:B7"/>
    <mergeCell ref="C6:C7"/>
    <mergeCell ref="E6:E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"/>
  <sheetViews>
    <sheetView topLeftCell="B1" workbookViewId="0">
      <selection activeCell="A4" sqref="A4:AC8"/>
    </sheetView>
  </sheetViews>
  <sheetFormatPr defaultRowHeight="14.4" x14ac:dyDescent="0.3"/>
  <cols>
    <col min="1" max="1" width="9.44140625" customWidth="1"/>
    <col min="2" max="2" width="12.88671875" customWidth="1"/>
    <col min="3" max="3" width="11.88671875" customWidth="1"/>
    <col min="4" max="4" width="18" customWidth="1"/>
    <col min="5" max="6" width="11.5546875" customWidth="1"/>
    <col min="7" max="7" width="15.6640625" customWidth="1"/>
    <col min="8" max="8" width="12.44140625" customWidth="1"/>
    <col min="25" max="25" width="10.6640625" customWidth="1"/>
    <col min="26" max="26" width="13.5546875" customWidth="1"/>
    <col min="27" max="28" width="12.44140625" customWidth="1"/>
    <col min="29" max="29" width="11.6640625" customWidth="1"/>
  </cols>
  <sheetData>
    <row r="1" spans="1:29" ht="18" x14ac:dyDescent="0.35">
      <c r="A1" s="209" t="s">
        <v>43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</row>
    <row r="2" spans="1:29" ht="18" x14ac:dyDescent="0.35">
      <c r="A2" s="209" t="s">
        <v>44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</row>
    <row r="4" spans="1:29" ht="15.6" x14ac:dyDescent="0.3">
      <c r="A4" s="5" t="s">
        <v>216</v>
      </c>
    </row>
    <row r="5" spans="1:29" ht="15.6" x14ac:dyDescent="0.3">
      <c r="A5" s="5"/>
    </row>
    <row r="6" spans="1:29" ht="17.25" customHeight="1" x14ac:dyDescent="0.3">
      <c r="A6" s="266" t="s">
        <v>148</v>
      </c>
      <c r="B6" s="266" t="s">
        <v>200</v>
      </c>
      <c r="C6" s="266" t="s">
        <v>201</v>
      </c>
      <c r="D6" s="266" t="s">
        <v>199</v>
      </c>
      <c r="E6" s="266" t="s">
        <v>269</v>
      </c>
      <c r="F6" s="268" t="s">
        <v>220</v>
      </c>
      <c r="G6" s="268" t="s">
        <v>222</v>
      </c>
      <c r="H6" s="268" t="s">
        <v>221</v>
      </c>
      <c r="I6" s="267" t="s">
        <v>218</v>
      </c>
      <c r="J6" s="267"/>
      <c r="K6" s="267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6" t="s">
        <v>219</v>
      </c>
      <c r="Z6" s="266" t="s">
        <v>217</v>
      </c>
      <c r="AA6" s="266" t="s">
        <v>207</v>
      </c>
      <c r="AB6" s="266" t="s">
        <v>157</v>
      </c>
      <c r="AC6" s="266" t="s">
        <v>208</v>
      </c>
    </row>
    <row r="7" spans="1:29" ht="28.5" customHeight="1" x14ac:dyDescent="0.3">
      <c r="A7" s="266"/>
      <c r="B7" s="266"/>
      <c r="C7" s="266"/>
      <c r="D7" s="266"/>
      <c r="E7" s="266"/>
      <c r="F7" s="269"/>
      <c r="G7" s="269"/>
      <c r="H7" s="269"/>
      <c r="I7" s="197" t="s">
        <v>202</v>
      </c>
      <c r="J7" s="197"/>
      <c r="K7" s="197"/>
      <c r="L7" s="197"/>
      <c r="M7" s="197"/>
      <c r="N7" s="197" t="s">
        <v>203</v>
      </c>
      <c r="O7" s="197"/>
      <c r="P7" s="197"/>
      <c r="Q7" s="197"/>
      <c r="R7" s="197"/>
      <c r="S7" s="119" t="s">
        <v>204</v>
      </c>
      <c r="T7" s="197" t="s">
        <v>205</v>
      </c>
      <c r="U7" s="197"/>
      <c r="V7" s="197"/>
      <c r="W7" s="197"/>
      <c r="X7" s="197"/>
      <c r="Y7" s="266"/>
      <c r="Z7" s="266"/>
      <c r="AA7" s="266"/>
      <c r="AB7" s="266"/>
      <c r="AC7" s="266"/>
    </row>
    <row r="8" spans="1:29" x14ac:dyDescent="0.3">
      <c r="A8" s="266"/>
      <c r="B8" s="119" t="s">
        <v>209</v>
      </c>
      <c r="C8" s="119" t="s">
        <v>209</v>
      </c>
      <c r="D8" s="266"/>
      <c r="E8" s="119" t="s">
        <v>209</v>
      </c>
      <c r="F8" s="120"/>
      <c r="G8" s="120"/>
      <c r="H8" s="120"/>
      <c r="I8" s="119" t="s">
        <v>149</v>
      </c>
      <c r="J8" s="119" t="s">
        <v>150</v>
      </c>
      <c r="K8" s="119" t="s">
        <v>151</v>
      </c>
      <c r="L8" s="119" t="s">
        <v>152</v>
      </c>
      <c r="M8" s="119" t="s">
        <v>153</v>
      </c>
      <c r="N8" s="119" t="s">
        <v>154</v>
      </c>
      <c r="O8" s="119" t="s">
        <v>150</v>
      </c>
      <c r="P8" s="119" t="s">
        <v>151</v>
      </c>
      <c r="Q8" s="119" t="s">
        <v>152</v>
      </c>
      <c r="R8" s="119" t="s">
        <v>153</v>
      </c>
      <c r="S8" s="119" t="s">
        <v>152</v>
      </c>
      <c r="T8" s="119" t="s">
        <v>154</v>
      </c>
      <c r="U8" s="119" t="s">
        <v>150</v>
      </c>
      <c r="V8" s="119" t="s">
        <v>151</v>
      </c>
      <c r="W8" s="119" t="s">
        <v>152</v>
      </c>
      <c r="X8" s="119" t="s">
        <v>153</v>
      </c>
      <c r="Y8" s="119" t="s">
        <v>27</v>
      </c>
      <c r="Z8" s="119" t="s">
        <v>209</v>
      </c>
      <c r="AA8" s="119" t="s">
        <v>209</v>
      </c>
      <c r="AB8" s="266"/>
      <c r="AC8" s="266"/>
    </row>
    <row r="9" spans="1:29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</sheetData>
  <mergeCells count="19">
    <mergeCell ref="AA6:AA7"/>
    <mergeCell ref="AB6:AB8"/>
    <mergeCell ref="AC6:AC8"/>
    <mergeCell ref="I7:M7"/>
    <mergeCell ref="N7:R7"/>
    <mergeCell ref="T7:X7"/>
    <mergeCell ref="A1:AC1"/>
    <mergeCell ref="A2:AC2"/>
    <mergeCell ref="A6:A8"/>
    <mergeCell ref="B6:B7"/>
    <mergeCell ref="C6:C7"/>
    <mergeCell ref="D6:D8"/>
    <mergeCell ref="E6:E7"/>
    <mergeCell ref="I6:X6"/>
    <mergeCell ref="Y6:Y7"/>
    <mergeCell ref="Z6:Z7"/>
    <mergeCell ref="F6:F7"/>
    <mergeCell ref="H6:H7"/>
    <mergeCell ref="G6:G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1"/>
  <sheetViews>
    <sheetView workbookViewId="0">
      <selection activeCell="K12" sqref="K12"/>
    </sheetView>
  </sheetViews>
  <sheetFormatPr defaultRowHeight="14.4" x14ac:dyDescent="0.3"/>
  <cols>
    <col min="1" max="1" width="10.33203125" customWidth="1"/>
    <col min="2" max="2" width="20.88671875" customWidth="1"/>
    <col min="3" max="3" width="18.44140625" customWidth="1"/>
    <col min="4" max="4" width="21.5546875" customWidth="1"/>
    <col min="5" max="5" width="27.33203125" customWidth="1"/>
    <col min="6" max="6" width="21.33203125" customWidth="1"/>
    <col min="7" max="7" width="27.88671875" customWidth="1"/>
    <col min="8" max="8" width="19.88671875" customWidth="1"/>
    <col min="9" max="9" width="15.6640625" customWidth="1"/>
    <col min="10" max="10" width="16.88671875" customWidth="1"/>
    <col min="11" max="11" width="10" customWidth="1"/>
  </cols>
  <sheetData>
    <row r="2" spans="1:20" ht="18" x14ac:dyDescent="0.35">
      <c r="A2" s="270" t="s">
        <v>48</v>
      </c>
      <c r="B2" s="270"/>
      <c r="C2" s="270"/>
      <c r="D2" s="270"/>
    </row>
    <row r="3" spans="1:20" ht="18" x14ac:dyDescent="0.35">
      <c r="A3" s="209" t="s">
        <v>43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15"/>
      <c r="M3" s="15"/>
      <c r="N3" s="15"/>
      <c r="O3" s="15"/>
      <c r="P3" s="15"/>
      <c r="Q3" s="15"/>
      <c r="R3" s="15"/>
      <c r="S3" s="15"/>
      <c r="T3" s="15"/>
    </row>
    <row r="4" spans="1:20" ht="18" x14ac:dyDescent="0.35">
      <c r="A4" s="209" t="s">
        <v>44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15"/>
      <c r="M4" s="15"/>
      <c r="N4" s="15"/>
      <c r="O4" s="15"/>
      <c r="P4" s="15"/>
      <c r="Q4" s="15"/>
      <c r="R4" s="15"/>
      <c r="S4" s="15"/>
      <c r="T4" s="15"/>
    </row>
    <row r="6" spans="1:20" s="10" customFormat="1" ht="51" customHeight="1" x14ac:dyDescent="0.3">
      <c r="A6" s="7" t="s">
        <v>49</v>
      </c>
      <c r="B6" s="12" t="s">
        <v>50</v>
      </c>
      <c r="C6" s="12" t="s">
        <v>51</v>
      </c>
      <c r="D6" s="12" t="s">
        <v>52</v>
      </c>
      <c r="E6" s="12" t="s">
        <v>53</v>
      </c>
      <c r="F6" s="12" t="s">
        <v>54</v>
      </c>
      <c r="G6" s="12" t="s">
        <v>55</v>
      </c>
      <c r="H6" s="12" t="s">
        <v>56</v>
      </c>
      <c r="I6" s="12" t="s">
        <v>57</v>
      </c>
      <c r="J6" s="12" t="s">
        <v>108</v>
      </c>
      <c r="K6" s="7" t="s">
        <v>58</v>
      </c>
      <c r="L6" s="11"/>
    </row>
    <row r="7" spans="1:20" x14ac:dyDescent="0.3">
      <c r="A7" s="16">
        <v>1</v>
      </c>
      <c r="B7" s="16">
        <v>2</v>
      </c>
      <c r="C7" s="16">
        <v>3</v>
      </c>
      <c r="D7" s="16">
        <v>4</v>
      </c>
      <c r="E7" s="16">
        <v>5</v>
      </c>
      <c r="F7" s="16">
        <v>6</v>
      </c>
      <c r="G7" s="16">
        <v>7</v>
      </c>
      <c r="H7" s="16">
        <v>8</v>
      </c>
      <c r="I7" s="16">
        <v>9</v>
      </c>
      <c r="J7" s="16">
        <v>10</v>
      </c>
      <c r="K7" s="16">
        <v>11</v>
      </c>
    </row>
    <row r="8" spans="1:20" x14ac:dyDescent="0.3">
      <c r="A8" s="4" t="s">
        <v>102</v>
      </c>
      <c r="B8" s="25">
        <v>100000000</v>
      </c>
      <c r="C8" s="18" t="s">
        <v>100</v>
      </c>
      <c r="D8" s="25">
        <v>28800</v>
      </c>
      <c r="E8" s="25">
        <v>9388800</v>
      </c>
      <c r="F8" s="18" t="s">
        <v>101</v>
      </c>
      <c r="G8" s="18"/>
      <c r="H8" s="18"/>
      <c r="I8" s="18"/>
      <c r="J8" s="26">
        <f>B8-E8</f>
        <v>90611200</v>
      </c>
      <c r="K8" s="18" t="s">
        <v>103</v>
      </c>
    </row>
    <row r="9" spans="1:20" x14ac:dyDescent="0.3">
      <c r="A9" s="4"/>
      <c r="B9" s="18"/>
      <c r="C9" s="18"/>
      <c r="D9" s="18"/>
      <c r="E9" s="18"/>
      <c r="F9" s="18" t="s">
        <v>102</v>
      </c>
      <c r="G9" s="18"/>
      <c r="H9" s="18"/>
      <c r="I9" s="18"/>
      <c r="J9" s="18"/>
      <c r="K9" s="18"/>
    </row>
    <row r="10" spans="1:20" x14ac:dyDescent="0.3">
      <c r="A10" s="4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spans="1:20" x14ac:dyDescent="0.3">
      <c r="A11" s="4" t="s">
        <v>96</v>
      </c>
      <c r="B11" s="26">
        <f>J8</f>
        <v>90611200</v>
      </c>
      <c r="C11" s="18"/>
      <c r="D11" s="18"/>
      <c r="E11" s="18"/>
      <c r="F11" s="18"/>
      <c r="G11" s="27">
        <v>9388800</v>
      </c>
      <c r="H11" s="22" t="s">
        <v>101</v>
      </c>
      <c r="I11" s="22" t="s">
        <v>100</v>
      </c>
      <c r="J11" s="26">
        <f>B11+G11</f>
        <v>100000000</v>
      </c>
      <c r="K11" s="22" t="s">
        <v>104</v>
      </c>
    </row>
    <row r="12" spans="1:20" x14ac:dyDescent="0.3">
      <c r="A12" s="4"/>
      <c r="B12" s="18"/>
      <c r="C12" s="18"/>
      <c r="D12" s="18"/>
      <c r="E12" s="18"/>
      <c r="F12" s="18"/>
      <c r="G12" s="22"/>
      <c r="H12" s="22" t="s">
        <v>102</v>
      </c>
      <c r="I12" s="22"/>
      <c r="J12" s="22"/>
      <c r="K12" s="22"/>
    </row>
    <row r="13" spans="1:20" x14ac:dyDescent="0.3">
      <c r="A13" s="4"/>
      <c r="B13" s="18"/>
      <c r="C13" s="18"/>
      <c r="D13" s="18"/>
      <c r="E13" s="18"/>
      <c r="F13" s="18"/>
      <c r="G13" s="18"/>
      <c r="H13" s="18"/>
      <c r="I13" s="18"/>
      <c r="J13" s="18"/>
      <c r="K13" s="4"/>
    </row>
    <row r="14" spans="1:20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20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20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21" spans="1:11" x14ac:dyDescent="0.3">
      <c r="A21" s="13" t="s">
        <v>60</v>
      </c>
    </row>
  </sheetData>
  <mergeCells count="3">
    <mergeCell ref="A2:D2"/>
    <mergeCell ref="A3:K3"/>
    <mergeCell ref="A4:K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N10" sqref="N10"/>
    </sheetView>
  </sheetViews>
  <sheetFormatPr defaultRowHeight="14.4" x14ac:dyDescent="0.3"/>
  <cols>
    <col min="2" max="2" width="11.109375" customWidth="1"/>
    <col min="3" max="3" width="15.6640625" customWidth="1"/>
    <col min="4" max="4" width="17.88671875" customWidth="1"/>
    <col min="6" max="6" width="10.6640625" customWidth="1"/>
    <col min="7" max="7" width="11" customWidth="1"/>
    <col min="8" max="8" width="15.88671875" customWidth="1"/>
    <col min="10" max="10" width="10.6640625" customWidth="1"/>
    <col min="13" max="13" width="11.33203125" customWidth="1"/>
  </cols>
  <sheetData>
    <row r="1" spans="1:14" ht="18" x14ac:dyDescent="0.35">
      <c r="A1" s="209" t="s">
        <v>43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</row>
    <row r="2" spans="1:14" ht="18" x14ac:dyDescent="0.35">
      <c r="A2" s="209" t="s">
        <v>44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</row>
    <row r="4" spans="1:14" ht="18" x14ac:dyDescent="0.35">
      <c r="A4" s="116" t="s">
        <v>198</v>
      </c>
    </row>
    <row r="5" spans="1:14" ht="18" x14ac:dyDescent="0.35">
      <c r="A5" s="117" t="s">
        <v>176</v>
      </c>
    </row>
    <row r="6" spans="1:14" ht="15" thickBot="1" x14ac:dyDescent="0.35"/>
    <row r="7" spans="1:14" ht="27.75" customHeight="1" x14ac:dyDescent="0.3">
      <c r="A7" s="274" t="s">
        <v>148</v>
      </c>
      <c r="B7" s="272" t="s">
        <v>186</v>
      </c>
      <c r="C7" s="271" t="s">
        <v>170</v>
      </c>
      <c r="D7" s="196"/>
      <c r="E7" s="199"/>
      <c r="F7" s="272" t="s">
        <v>171</v>
      </c>
      <c r="G7" s="271" t="s">
        <v>172</v>
      </c>
      <c r="H7" s="196"/>
      <c r="I7" s="199"/>
      <c r="J7" s="272" t="s">
        <v>175</v>
      </c>
      <c r="K7" s="272" t="s">
        <v>187</v>
      </c>
      <c r="L7" s="274" t="s">
        <v>157</v>
      </c>
      <c r="M7" s="272" t="s">
        <v>196</v>
      </c>
      <c r="N7" s="272" t="s">
        <v>177</v>
      </c>
    </row>
    <row r="8" spans="1:14" s="115" customFormat="1" ht="29.4" thickBot="1" x14ac:dyDescent="0.35">
      <c r="A8" s="275"/>
      <c r="B8" s="273"/>
      <c r="C8" s="30" t="s">
        <v>34</v>
      </c>
      <c r="D8" s="31" t="s">
        <v>174</v>
      </c>
      <c r="E8" s="32" t="s">
        <v>169</v>
      </c>
      <c r="F8" s="273"/>
      <c r="G8" s="30" t="s">
        <v>173</v>
      </c>
      <c r="H8" s="31" t="s">
        <v>174</v>
      </c>
      <c r="I8" s="32" t="s">
        <v>169</v>
      </c>
      <c r="J8" s="273"/>
      <c r="K8" s="273"/>
      <c r="L8" s="275"/>
      <c r="M8" s="273"/>
      <c r="N8" s="273"/>
    </row>
    <row r="9" spans="1:14" x14ac:dyDescent="0.3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</row>
    <row r="10" spans="1:14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</sheetData>
  <mergeCells count="12">
    <mergeCell ref="A1:N1"/>
    <mergeCell ref="A2:N2"/>
    <mergeCell ref="C7:E7"/>
    <mergeCell ref="F7:F8"/>
    <mergeCell ref="B7:B8"/>
    <mergeCell ref="A7:A8"/>
    <mergeCell ref="G7:I7"/>
    <mergeCell ref="J7:J8"/>
    <mergeCell ref="K7:K8"/>
    <mergeCell ref="L7:L8"/>
    <mergeCell ref="M7:M8"/>
    <mergeCell ref="N7:N8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M22" sqref="M22"/>
    </sheetView>
  </sheetViews>
  <sheetFormatPr defaultRowHeight="14.4" x14ac:dyDescent="0.3"/>
  <cols>
    <col min="2" max="2" width="11.109375" customWidth="1"/>
    <col min="3" max="3" width="17.88671875" customWidth="1"/>
    <col min="5" max="5" width="10.6640625" customWidth="1"/>
    <col min="6" max="6" width="11" customWidth="1"/>
    <col min="7" max="7" width="15.88671875" customWidth="1"/>
    <col min="8" max="8" width="11.109375" customWidth="1"/>
    <col min="9" max="9" width="10.6640625" customWidth="1"/>
    <col min="10" max="11" width="11.6640625" customWidth="1"/>
    <col min="12" max="13" width="11.33203125" customWidth="1"/>
    <col min="14" max="14" width="9.5546875" customWidth="1"/>
  </cols>
  <sheetData>
    <row r="1" spans="1:17" ht="18" x14ac:dyDescent="0.35">
      <c r="A1" s="209" t="s">
        <v>43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</row>
    <row r="2" spans="1:17" ht="18" x14ac:dyDescent="0.35">
      <c r="A2" s="209" t="s">
        <v>44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</row>
    <row r="4" spans="1:17" ht="18" x14ac:dyDescent="0.35">
      <c r="A4" s="116" t="s">
        <v>197</v>
      </c>
    </row>
    <row r="5" spans="1:17" ht="18" x14ac:dyDescent="0.35">
      <c r="A5" s="117" t="s">
        <v>179</v>
      </c>
    </row>
    <row r="6" spans="1:17" ht="15" thickBot="1" x14ac:dyDescent="0.35"/>
    <row r="7" spans="1:17" ht="27.75" customHeight="1" thickBot="1" x14ac:dyDescent="0.35">
      <c r="A7" s="274" t="s">
        <v>148</v>
      </c>
      <c r="B7" s="272" t="s">
        <v>180</v>
      </c>
      <c r="C7" s="276" t="s">
        <v>170</v>
      </c>
      <c r="D7" s="277"/>
      <c r="E7" s="272" t="s">
        <v>182</v>
      </c>
      <c r="F7" s="276" t="s">
        <v>172</v>
      </c>
      <c r="G7" s="279"/>
      <c r="H7" s="280" t="s">
        <v>185</v>
      </c>
      <c r="I7" s="272" t="s">
        <v>188</v>
      </c>
      <c r="J7" s="272" t="s">
        <v>190</v>
      </c>
      <c r="K7" s="272" t="s">
        <v>189</v>
      </c>
      <c r="L7" s="272" t="s">
        <v>191</v>
      </c>
      <c r="M7" s="282" t="s">
        <v>215</v>
      </c>
      <c r="N7" s="283"/>
      <c r="O7" s="238" t="s">
        <v>214</v>
      </c>
      <c r="P7" s="238" t="s">
        <v>194</v>
      </c>
      <c r="Q7" s="238" t="s">
        <v>195</v>
      </c>
    </row>
    <row r="8" spans="1:17" s="115" customFormat="1" ht="43.8" thickBot="1" x14ac:dyDescent="0.35">
      <c r="A8" s="275"/>
      <c r="B8" s="273"/>
      <c r="C8" s="31" t="s">
        <v>174</v>
      </c>
      <c r="D8" s="32" t="s">
        <v>181</v>
      </c>
      <c r="E8" s="273"/>
      <c r="F8" s="30" t="s">
        <v>183</v>
      </c>
      <c r="G8" s="31" t="s">
        <v>184</v>
      </c>
      <c r="H8" s="281"/>
      <c r="I8" s="273"/>
      <c r="J8" s="273"/>
      <c r="K8" s="273"/>
      <c r="L8" s="273"/>
      <c r="M8" s="118" t="s">
        <v>192</v>
      </c>
      <c r="N8" s="149" t="s">
        <v>193</v>
      </c>
      <c r="O8" s="278"/>
      <c r="P8" s="278"/>
      <c r="Q8" s="278"/>
    </row>
    <row r="9" spans="1:17" x14ac:dyDescent="0.3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</row>
    <row r="10" spans="1:17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</sheetData>
  <mergeCells count="16">
    <mergeCell ref="Q7:Q8"/>
    <mergeCell ref="L7:L8"/>
    <mergeCell ref="F7:G7"/>
    <mergeCell ref="H7:H8"/>
    <mergeCell ref="M7:N7"/>
    <mergeCell ref="P7:P8"/>
    <mergeCell ref="O7:O8"/>
    <mergeCell ref="A1:M1"/>
    <mergeCell ref="A2:M2"/>
    <mergeCell ref="A7:A8"/>
    <mergeCell ref="B7:B8"/>
    <mergeCell ref="C7:D7"/>
    <mergeCell ref="E7:E8"/>
    <mergeCell ref="I7:I8"/>
    <mergeCell ref="J7:J8"/>
    <mergeCell ref="K7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Spirit Transaction</vt:lpstr>
      <vt:lpstr>Finished Bottle &amp; Fees on Issue</vt:lpstr>
      <vt:lpstr>Daily HandBook</vt:lpstr>
      <vt:lpstr>REG 76</vt:lpstr>
      <vt:lpstr>Reg-74</vt:lpstr>
      <vt:lpstr>REG-78</vt:lpstr>
      <vt:lpstr>REG-A</vt:lpstr>
      <vt:lpstr>REG-B</vt:lpstr>
      <vt:lpstr>Bottling Fees</vt:lpstr>
      <vt:lpstr>Excise Duty</vt:lpstr>
      <vt:lpstr>GBR</vt:lpstr>
      <vt:lpstr>Hol Excise</vt:lpstr>
      <vt:lpstr>Hol Licensee</vt:lpstr>
      <vt:lpstr>'Daily HandBook'!Print_Area</vt:lpstr>
      <vt:lpstr>'Finished Bottle &amp; Fees on Issue'!Print_Area</vt:lpstr>
      <vt:lpstr>'Spirit Transaction'!Print_Area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2026-01-06T10:48:53Z</dcterms:modified>
</cp:coreProperties>
</file>